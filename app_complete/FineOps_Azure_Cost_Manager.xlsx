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V_APP\Analytics_DEV\TECH_LEAD\"/>
    </mc:Choice>
  </mc:AlternateContent>
  <xr:revisionPtr revIDLastSave="0" documentId="13_ncr:1_{8C3926B0-C964-443F-8F11-9FE8AE90572A}" xr6:coauthVersionLast="47" xr6:coauthVersionMax="47" xr10:uidLastSave="{00000000-0000-0000-0000-000000000000}"/>
  <bookViews>
    <workbookView xWindow="-108" yWindow="-108" windowWidth="23256" windowHeight="12456" activeTab="2" xr2:uid="{7A89FCBF-59C7-4265-9367-C2FACBBCE9AB}"/>
  </bookViews>
  <sheets>
    <sheet name="Gráfico1" sheetId="3" r:id="rId1"/>
    <sheet name="TD" sheetId="2" r:id="rId2"/>
    <sheet name="TD2" sheetId="4" r:id="rId3"/>
    <sheet name="SOURCE" sheetId="1" r:id="rId4"/>
  </sheets>
  <definedNames>
    <definedName name="_xlnm._FilterDatabase" localSheetId="3" hidden="1">SOURCE!$A$1:$F$1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3" i="1"/>
  <c r="A2" i="1"/>
</calcChain>
</file>

<file path=xl/sharedStrings.xml><?xml version="1.0" encoding="utf-8"?>
<sst xmlns="http://schemas.openxmlformats.org/spreadsheetml/2006/main" count="378" uniqueCount="43">
  <si>
    <t>UsageDate</t>
  </si>
  <si>
    <t>ResourceGroupName</t>
  </si>
  <si>
    <t>CostUSD</t>
  </si>
  <si>
    <t>Cost</t>
  </si>
  <si>
    <t>Currency</t>
  </si>
  <si>
    <t>2025-07-01</t>
  </si>
  <si>
    <t>databricks-rg-rg-nbatecnico-prd</t>
  </si>
  <si>
    <t>BRL</t>
  </si>
  <si>
    <t>mc_rg-nbatecnico-dev_aks-nbatecnico-dev_brazilsouth</t>
  </si>
  <si>
    <t>mc_rg-nbatecnico-hom_aks-nbatecnico-hom_brazilsouth</t>
  </si>
  <si>
    <t>mc_rg-nbatecnico-prd_aks-nbatecnico-prd_brazilsouth</t>
  </si>
  <si>
    <t>rg-analytics-dev</t>
  </si>
  <si>
    <t>rg-analytics-dev-databricks</t>
  </si>
  <si>
    <t>rg-analytics-hom</t>
  </si>
  <si>
    <t>rg-analytics-hom-databricks</t>
  </si>
  <si>
    <t>rg-analytics-images</t>
  </si>
  <si>
    <t>rg-analytics-prd</t>
  </si>
  <si>
    <t>rg-analytics-prd-databricks</t>
  </si>
  <si>
    <t>rg-analytics-terraform-state</t>
  </si>
  <si>
    <t>rg-conectividade-analytics</t>
  </si>
  <si>
    <t>rg-nbatecnico-dev</t>
  </si>
  <si>
    <t>rg-nbatecnico-dev-databricks</t>
  </si>
  <si>
    <t>rg-nbatecnico-hom</t>
  </si>
  <si>
    <t>rg-nbatecnico-hom-databricks</t>
  </si>
  <si>
    <t>rg-nbatecnico-prd</t>
  </si>
  <si>
    <t>rg-nbatecnico-terraform-state</t>
  </si>
  <si>
    <t>2025-06-01</t>
  </si>
  <si>
    <t>2025-05-01</t>
  </si>
  <si>
    <t>2025-04-01</t>
  </si>
  <si>
    <t>2025-03-01</t>
  </si>
  <si>
    <t>2025-02-01</t>
  </si>
  <si>
    <t>ANOMES</t>
  </si>
  <si>
    <t>Rótulos de Linha</t>
  </si>
  <si>
    <t>Total Geral</t>
  </si>
  <si>
    <t>202502</t>
  </si>
  <si>
    <t>202503</t>
  </si>
  <si>
    <t>202504</t>
  </si>
  <si>
    <t>202505</t>
  </si>
  <si>
    <t>202506</t>
  </si>
  <si>
    <t>202507</t>
  </si>
  <si>
    <t>$Cost</t>
  </si>
  <si>
    <t>anomes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</si>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</sst>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[FineOps_Azure_Cost_Manager.xlsx]TD!Tabela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2200" b="1" i="0" baseline="0">
                <a:effectLst/>
              </a:rPr>
              <a:t>Cost 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TD!$B$3:$B$4</c:f>
              <c:strCache>
                <c:ptCount val="1"/>
                <c:pt idx="0">
                  <c:v>mc_rg-nbatecnico-dev_aks-nbatecnico-dev_brazilsouth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TD!$A$5:$A$11</c:f>
              <c:strCache>
                <c:ptCount val="6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</c:strCache>
            </c:strRef>
          </c:cat>
          <c:val>
            <c:numRef>
              <c:f>TD!$B$5:$B$11</c:f>
              <c:numCache>
                <c:formatCode>"R$"\ #,##0.00</c:formatCode>
                <c:ptCount val="6"/>
                <c:pt idx="0">
                  <c:v>523.001250594466</c:v>
                </c:pt>
                <c:pt idx="1">
                  <c:v>404.40677982234399</c:v>
                </c:pt>
                <c:pt idx="2">
                  <c:v>338.60305158032901</c:v>
                </c:pt>
                <c:pt idx="3">
                  <c:v>374.29893022003301</c:v>
                </c:pt>
                <c:pt idx="4">
                  <c:v>3537.0345017995501</c:v>
                </c:pt>
                <c:pt idx="5">
                  <c:v>4977.4079528724296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1-49E2-9F57-258730A796E8}"/>
            </c:ext>
          </c:extLst>
        </c:ser>
        <c:ser>
          <c:idx val="1"/>
          <c:order val="1"/>
          <c:tx>
            <c:strRef>
              <c:f>TD!$C$3:$C$4</c:f>
              <c:strCache>
                <c:ptCount val="1"/>
                <c:pt idx="0">
                  <c:v>mc_rg-nbatecnico-hom_aks-nbatecnico-hom_brazilsouth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TD!$A$5:$A$11</c:f>
              <c:strCache>
                <c:ptCount val="6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</c:strCache>
            </c:strRef>
          </c:cat>
          <c:val>
            <c:numRef>
              <c:f>TD!$C$5:$C$11</c:f>
              <c:numCache>
                <c:formatCode>"R$"\ #,##0.00</c:formatCode>
                <c:ptCount val="6"/>
                <c:pt idx="0">
                  <c:v>305.34486400980001</c:v>
                </c:pt>
                <c:pt idx="1">
                  <c:v>286.43941672072998</c:v>
                </c:pt>
                <c:pt idx="2">
                  <c:v>304.18647951563202</c:v>
                </c:pt>
                <c:pt idx="3">
                  <c:v>308.894901573509</c:v>
                </c:pt>
                <c:pt idx="4">
                  <c:v>2677.9175451658198</c:v>
                </c:pt>
                <c:pt idx="5">
                  <c:v>3757.5072723022599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1-49E2-9F57-258730A796E8}"/>
            </c:ext>
          </c:extLst>
        </c:ser>
        <c:ser>
          <c:idx val="2"/>
          <c:order val="2"/>
          <c:tx>
            <c:strRef>
              <c:f>TD!$D$3:$D$4</c:f>
              <c:strCache>
                <c:ptCount val="1"/>
                <c:pt idx="0">
                  <c:v>mc_rg-nbatecnico-prd_aks-nbatecnico-prd_brazilsouth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TD!$A$5:$A$11</c:f>
              <c:strCache>
                <c:ptCount val="6"/>
                <c:pt idx="0">
                  <c:v>202502</c:v>
                </c:pt>
                <c:pt idx="1">
                  <c:v>202503</c:v>
                </c:pt>
                <c:pt idx="2">
                  <c:v>202504</c:v>
                </c:pt>
                <c:pt idx="3">
                  <c:v>202505</c:v>
                </c:pt>
                <c:pt idx="4">
                  <c:v>202506</c:v>
                </c:pt>
                <c:pt idx="5">
                  <c:v>202507</c:v>
                </c:pt>
              </c:strCache>
            </c:strRef>
          </c:cat>
          <c:val>
            <c:numRef>
              <c:f>TD!$D$5:$D$11</c:f>
              <c:numCache>
                <c:formatCode>"R$"\ #,##0.00</c:formatCode>
                <c:ptCount val="6"/>
                <c:pt idx="0">
                  <c:v>2581.2965561964502</c:v>
                </c:pt>
                <c:pt idx="1">
                  <c:v>2139.03999012751</c:v>
                </c:pt>
                <c:pt idx="2">
                  <c:v>1586.48762586153</c:v>
                </c:pt>
                <c:pt idx="3">
                  <c:v>2295.9071240199501</c:v>
                </c:pt>
                <c:pt idx="4">
                  <c:v>4994.9921810146998</c:v>
                </c:pt>
                <c:pt idx="5">
                  <c:v>6324.3470446296997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1-49E2-9F57-258730A79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87502720"/>
        <c:axId val="1487503200"/>
      </c:barChart>
      <c:catAx>
        <c:axId val="148750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503200"/>
        <c:crosses val="autoZero"/>
        <c:auto val="1"/>
        <c:lblAlgn val="ctr"/>
        <c:lblOffset val="100"/>
        <c:noMultiLvlLbl val="0"/>
      </c:catAx>
      <c:valAx>
        <c:axId val="148750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50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A0C601-F24F-4B2F-A4E7-6FA9F2651458}">
  <sheetPr/>
  <sheetViews>
    <sheetView zoomScale="10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4396" cy="600546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6B71D2-AD59-0447-6127-D811A77143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CARLOS DOS SANTOS" refreshedDate="45876.49091886574" createdVersion="8" refreshedVersion="8" minRefreshableVersion="3" recordCount="114" xr:uid="{FF92B759-A65F-487D-8CDD-F19E6390834B}">
  <cacheSource type="worksheet">
    <worksheetSource ref="A1:F115" sheet="SOURCE"/>
  </cacheSource>
  <cacheFields count="6">
    <cacheField name="ANOMES" numFmtId="0">
      <sharedItems count="6">
        <s v="202507"/>
        <s v="202506"/>
        <s v="202505"/>
        <s v="202504"/>
        <s v="202503"/>
        <s v="202502"/>
      </sharedItems>
    </cacheField>
    <cacheField name="UsageDate" numFmtId="0">
      <sharedItems/>
    </cacheField>
    <cacheField name="ResourceGroupName" numFmtId="0">
      <sharedItems count="19">
        <s v="databricks-rg-rg-nbatecnico-prd"/>
        <s v="mc_rg-nbatecnico-dev_aks-nbatecnico-dev_brazilsouth"/>
        <s v="mc_rg-nbatecnico-hom_aks-nbatecnico-hom_brazilsouth"/>
        <s v="mc_rg-nbatecnico-prd_aks-nbatecnico-prd_brazilsouth"/>
        <s v="rg-analytics-dev"/>
        <s v="rg-analytics-dev-databricks"/>
        <s v="rg-analytics-hom"/>
        <s v="rg-analytics-hom-databricks"/>
        <s v="rg-analytics-images"/>
        <s v="rg-analytics-prd"/>
        <s v="rg-analytics-prd-databricks"/>
        <s v="rg-analytics-terraform-state"/>
        <s v="rg-conectividade-analytics"/>
        <s v="rg-nbatecnico-dev"/>
        <s v="rg-nbatecnico-dev-databricks"/>
        <s v="rg-nbatecnico-hom"/>
        <s v="rg-nbatecnico-hom-databricks"/>
        <s v="rg-nbatecnico-prd"/>
        <s v="rg-nbatecnico-terraform-state"/>
      </sharedItems>
    </cacheField>
    <cacheField name="CostUSD" numFmtId="0">
      <sharedItems containsSemiMixedTypes="0" containsString="0" containsNumber="1" minValue="1.8749411251446499" maxValue="8456.5283562086006"/>
    </cacheField>
    <cacheField name="Cost" numFmtId="164">
      <sharedItems containsSemiMixedTypes="0" containsString="0" containsNumber="1" minValue="10.321082158639999" maxValue="46703.5833169256"/>
    </cacheField>
    <cacheField name="Currenc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  <s v="2025-07-01"/>
    <x v="0"/>
    <n v="1276.1185305955801"/>
    <n v="7024.7134812960203"/>
    <s v="BRL"/>
  </r>
  <r>
    <x v="0"/>
    <s v="2025-07-01"/>
    <x v="1"/>
    <n v="904.20236211861004"/>
    <n v="4977.4079528724296"/>
    <s v="BRL"/>
  </r>
  <r>
    <x v="0"/>
    <s v="2025-07-01"/>
    <x v="2"/>
    <n v="682.593627740089"/>
    <n v="3757.5072723022599"/>
    <s v="BRL"/>
  </r>
  <r>
    <x v="0"/>
    <s v="2025-07-01"/>
    <x v="3"/>
    <n v="1148.88905847308"/>
    <n v="6324.3470446296997"/>
    <s v="BRL"/>
  </r>
  <r>
    <x v="0"/>
    <s v="2025-07-01"/>
    <x v="4"/>
    <n v="1179.2088983276301"/>
    <n v="6491.2501830690198"/>
    <s v="BRL"/>
  </r>
  <r>
    <x v="0"/>
    <s v="2025-07-01"/>
    <x v="5"/>
    <n v="736.34864599743105"/>
    <n v="4053.4152090543698"/>
    <s v="BRL"/>
  </r>
  <r>
    <x v="0"/>
    <s v="2025-07-01"/>
    <x v="6"/>
    <n v="32.719615879050998"/>
    <n v="180.113305510206"/>
    <s v="BRL"/>
  </r>
  <r>
    <x v="0"/>
    <s v="2025-07-01"/>
    <x v="7"/>
    <n v="3.2194942563512998"/>
    <n v="17.7225110076498"/>
    <s v="BRL"/>
  </r>
  <r>
    <x v="0"/>
    <s v="2025-07-01"/>
    <x v="8"/>
    <n v="41.629417379861103"/>
    <n v="229.159535321791"/>
    <s v="BRL"/>
  </r>
  <r>
    <x v="0"/>
    <s v="2025-07-01"/>
    <x v="9"/>
    <n v="4428.3021311555403"/>
    <n v="24376.696156478502"/>
    <s v="BRL"/>
  </r>
  <r>
    <x v="0"/>
    <s v="2025-07-01"/>
    <x v="10"/>
    <n v="1608.52813597309"/>
    <n v="8854.5452564978605"/>
    <s v="BRL"/>
  </r>
  <r>
    <x v="0"/>
    <s v="2025-07-01"/>
    <x v="11"/>
    <n v="3.5580808051228399"/>
    <n v="19.586345311999999"/>
    <s v="BRL"/>
  </r>
  <r>
    <x v="0"/>
    <s v="2025-07-01"/>
    <x v="12"/>
    <n v="7.1847903947318104"/>
    <n v="39.550474925400003"/>
    <s v="BRL"/>
  </r>
  <r>
    <x v="0"/>
    <s v="2025-07-01"/>
    <x v="13"/>
    <n v="2669.1434777751201"/>
    <n v="14692.967559282601"/>
    <s v="BRL"/>
  </r>
  <r>
    <x v="0"/>
    <s v="2025-07-01"/>
    <x v="14"/>
    <n v="1248.6659845766601"/>
    <n v="6873.5940785983803"/>
    <s v="BRL"/>
  </r>
  <r>
    <x v="0"/>
    <s v="2025-07-01"/>
    <x v="15"/>
    <n v="1272.3364397985099"/>
    <n v="7003.8940169808502"/>
    <s v="BRL"/>
  </r>
  <r>
    <x v="0"/>
    <s v="2025-07-01"/>
    <x v="16"/>
    <n v="1.8749411251446499"/>
    <n v="10.321082158639999"/>
    <s v="BRL"/>
  </r>
  <r>
    <x v="0"/>
    <s v="2025-07-01"/>
    <x v="17"/>
    <n v="8456.5283562086006"/>
    <n v="46551.074468839397"/>
    <s v="BRL"/>
  </r>
  <r>
    <x v="0"/>
    <s v="2025-07-01"/>
    <x v="18"/>
    <n v="3.59245138017166"/>
    <n v="19.775546734999999"/>
    <s v="BRL"/>
  </r>
  <r>
    <x v="1"/>
    <s v="2025-06-01"/>
    <x v="0"/>
    <n v="1178.24820624377"/>
    <n v="6713.8939288182801"/>
    <s v="BRL"/>
  </r>
  <r>
    <x v="1"/>
    <s v="2025-06-01"/>
    <x v="1"/>
    <n v="620.72838822778101"/>
    <n v="3537.0345017995501"/>
    <s v="BRL"/>
  </r>
  <r>
    <x v="1"/>
    <s v="2025-06-01"/>
    <x v="2"/>
    <n v="469.95850359162802"/>
    <n v="2677.9175451658198"/>
    <s v="BRL"/>
  </r>
  <r>
    <x v="1"/>
    <s v="2025-06-01"/>
    <x v="3"/>
    <n v="876.59123600693101"/>
    <n v="4994.9921810146998"/>
    <s v="BRL"/>
  </r>
  <r>
    <x v="1"/>
    <s v="2025-06-01"/>
    <x v="4"/>
    <n v="750.85810194082399"/>
    <n v="4278.5396364792095"/>
    <s v="BRL"/>
  </r>
  <r>
    <x v="1"/>
    <s v="2025-06-01"/>
    <x v="5"/>
    <n v="728.21467388783401"/>
    <n v="4149.5128547476597"/>
    <s v="BRL"/>
  </r>
  <r>
    <x v="1"/>
    <s v="2025-06-01"/>
    <x v="6"/>
    <n v="54.636151027973803"/>
    <n v="311.32771578760099"/>
    <s v="BRL"/>
  </r>
  <r>
    <x v="1"/>
    <s v="2025-06-01"/>
    <x v="7"/>
    <n v="20.1713739753508"/>
    <n v="114.940523186344"/>
    <s v="BRL"/>
  </r>
  <r>
    <x v="1"/>
    <s v="2025-06-01"/>
    <x v="8"/>
    <n v="39.378796967097202"/>
    <n v="224.38826087791401"/>
    <s v="BRL"/>
  </r>
  <r>
    <x v="1"/>
    <s v="2025-06-01"/>
    <x v="9"/>
    <n v="4021.3456165407301"/>
    <n v="22914.431592172401"/>
    <s v="BRL"/>
  </r>
  <r>
    <x v="1"/>
    <s v="2025-06-01"/>
    <x v="10"/>
    <n v="1138.22480779329"/>
    <n v="6485.8325997677202"/>
    <s v="BRL"/>
  </r>
  <r>
    <x v="1"/>
    <s v="2025-06-01"/>
    <x v="11"/>
    <n v="3.3156350391351599"/>
    <n v="18.893151580000001"/>
    <s v="BRL"/>
  </r>
  <r>
    <x v="1"/>
    <s v="2025-06-01"/>
    <x v="12"/>
    <n v="6.8510906465410004"/>
    <n v="39.038884722120002"/>
    <s v="BRL"/>
  </r>
  <r>
    <x v="1"/>
    <s v="2025-06-01"/>
    <x v="13"/>
    <n v="1601.3049282580901"/>
    <n v="9124.5557422002603"/>
    <s v="BRL"/>
  </r>
  <r>
    <x v="1"/>
    <s v="2025-06-01"/>
    <x v="14"/>
    <n v="86.025954856324503"/>
    <n v="490.19309596230897"/>
    <s v="BRL"/>
  </r>
  <r>
    <x v="1"/>
    <s v="2025-06-01"/>
    <x v="15"/>
    <n v="862.91488849365101"/>
    <n v="4917.0616176145304"/>
    <s v="BRL"/>
  </r>
  <r>
    <x v="1"/>
    <s v="2025-06-01"/>
    <x v="16"/>
    <n v="15.1942787701512"/>
    <n v="86.580039288075696"/>
    <s v="BRL"/>
  </r>
  <r>
    <x v="1"/>
    <s v="2025-06-01"/>
    <x v="17"/>
    <n v="7789.5273531809298"/>
    <n v="44386.284763895601"/>
    <s v="BRL"/>
  </r>
  <r>
    <x v="1"/>
    <s v="2025-06-01"/>
    <x v="18"/>
    <n v="3.3013698696956899"/>
    <n v="18.811865791500001"/>
    <s v="BRL"/>
  </r>
  <r>
    <x v="2"/>
    <s v="2025-05-01"/>
    <x v="0"/>
    <n v="1161.29771239722"/>
    <n v="6589.2032201418497"/>
    <s v="BRL"/>
  </r>
  <r>
    <x v="2"/>
    <s v="2025-05-01"/>
    <x v="1"/>
    <n v="65.9673828375102"/>
    <n v="374.29893022003301"/>
    <s v="BRL"/>
  </r>
  <r>
    <x v="2"/>
    <s v="2025-05-01"/>
    <x v="2"/>
    <n v="54.440412684791902"/>
    <n v="308.894901573509"/>
    <s v="BRL"/>
  </r>
  <r>
    <x v="2"/>
    <s v="2025-05-01"/>
    <x v="3"/>
    <n v="404.63643356008902"/>
    <n v="2295.9071240199501"/>
    <s v="BRL"/>
  </r>
  <r>
    <x v="2"/>
    <s v="2025-05-01"/>
    <x v="4"/>
    <n v="273.07982323807403"/>
    <n v="1549.4549170528301"/>
    <s v="BRL"/>
  </r>
  <r>
    <x v="2"/>
    <s v="2025-05-01"/>
    <x v="5"/>
    <n v="243.00585257441401"/>
    <n v="1378.8152075072201"/>
    <s v="BRL"/>
  </r>
  <r>
    <x v="2"/>
    <s v="2025-05-01"/>
    <x v="6"/>
    <n v="37.558844574166201"/>
    <n v="213.10888411381899"/>
    <s v="BRL"/>
  </r>
  <r>
    <x v="2"/>
    <s v="2025-05-01"/>
    <x v="7"/>
    <n v="16.542023263875901"/>
    <n v="93.859439999231597"/>
    <s v="BRL"/>
  </r>
  <r>
    <x v="2"/>
    <s v="2025-05-01"/>
    <x v="8"/>
    <n v="40.387051852025202"/>
    <n v="229.156132208391"/>
    <s v="BRL"/>
  </r>
  <r>
    <x v="2"/>
    <s v="2025-05-01"/>
    <x v="9"/>
    <n v="4176.8902422221299"/>
    <n v="23699.675234368398"/>
    <s v="BRL"/>
  </r>
  <r>
    <x v="2"/>
    <s v="2025-05-01"/>
    <x v="10"/>
    <n v="1159.0393621144201"/>
    <n v="6576.3893406372199"/>
    <s v="BRL"/>
  </r>
  <r>
    <x v="2"/>
    <s v="2025-05-01"/>
    <x v="11"/>
    <n v="2.4821253595347201"/>
    <n v="14.083579289999999"/>
    <s v="BRL"/>
  </r>
  <r>
    <x v="2"/>
    <s v="2025-05-01"/>
    <x v="12"/>
    <n v="6.9698902305674997"/>
    <n v="39.547157168239998"/>
    <s v="BRL"/>
  </r>
  <r>
    <x v="2"/>
    <s v="2025-05-01"/>
    <x v="13"/>
    <n v="1620.36710329684"/>
    <n v="9193.9629441062498"/>
    <s v="BRL"/>
  </r>
  <r>
    <x v="2"/>
    <s v="2025-05-01"/>
    <x v="14"/>
    <n v="21.341063393673402"/>
    <n v="121.089193695703"/>
    <s v="BRL"/>
  </r>
  <r>
    <x v="2"/>
    <s v="2025-05-01"/>
    <x v="15"/>
    <n v="897.73740596253595"/>
    <n v="5093.7620414314297"/>
    <s v="BRL"/>
  </r>
  <r>
    <x v="2"/>
    <s v="2025-05-01"/>
    <x v="16"/>
    <n v="21.900956874846901"/>
    <n v="124.266029307881"/>
    <s v="BRL"/>
  </r>
  <r>
    <x v="2"/>
    <s v="2025-05-01"/>
    <x v="17"/>
    <n v="8231.1567354468807"/>
    <n v="46703.5833169256"/>
    <s v="BRL"/>
  </r>
  <r>
    <x v="2"/>
    <s v="2025-05-01"/>
    <x v="18"/>
    <n v="2.393199376454"/>
    <n v="13.579013262"/>
    <s v="BRL"/>
  </r>
  <r>
    <x v="3"/>
    <s v="2025-04-01"/>
    <x v="0"/>
    <n v="1131.3885026932501"/>
    <n v="6488.6827712211898"/>
    <s v="BRL"/>
  </r>
  <r>
    <x v="3"/>
    <s v="2025-04-01"/>
    <x v="1"/>
    <n v="59.039964356700203"/>
    <n v="338.60305158032901"/>
    <s v="BRL"/>
  </r>
  <r>
    <x v="3"/>
    <s v="2025-04-01"/>
    <x v="2"/>
    <n v="53.038975356465301"/>
    <n v="304.18647951563202"/>
    <s v="BRL"/>
  </r>
  <r>
    <x v="3"/>
    <s v="2025-04-01"/>
    <x v="3"/>
    <n v="276.62530637586298"/>
    <n v="1586.48762586153"/>
    <s v="BRL"/>
  </r>
  <r>
    <x v="3"/>
    <s v="2025-04-01"/>
    <x v="4"/>
    <n v="204.586999986119"/>
    <n v="1173.33713297039"/>
    <s v="BRL"/>
  </r>
  <r>
    <x v="3"/>
    <s v="2025-04-01"/>
    <x v="5"/>
    <n v="215.72842369910401"/>
    <n v="1237.23486917791"/>
    <s v="BRL"/>
  </r>
  <r>
    <x v="3"/>
    <s v="2025-04-01"/>
    <x v="6"/>
    <n v="34.520722580743701"/>
    <n v="197.98152210895199"/>
    <s v="BRL"/>
  </r>
  <r>
    <x v="3"/>
    <s v="2025-04-01"/>
    <x v="7"/>
    <n v="12.411670579952901"/>
    <n v="71.182792526616794"/>
    <s v="BRL"/>
  </r>
  <r>
    <x v="3"/>
    <s v="2025-04-01"/>
    <x v="8"/>
    <n v="39.1259979656529"/>
    <n v="224.39346723271399"/>
    <s v="BRL"/>
  </r>
  <r>
    <x v="3"/>
    <s v="2025-04-01"/>
    <x v="9"/>
    <n v="4095.3826220168798"/>
    <n v="23487.633644660102"/>
    <s v="BRL"/>
  </r>
  <r>
    <x v="3"/>
    <s v="2025-04-01"/>
    <x v="10"/>
    <n v="1150.5682803724601"/>
    <n v="6598.6816731781"/>
    <s v="BRL"/>
  </r>
  <r>
    <x v="3"/>
    <s v="2025-04-01"/>
    <x v="11"/>
    <n v="3.3114587501286001"/>
    <n v="18.9917126508"/>
    <s v="BRL"/>
  </r>
  <r>
    <x v="3"/>
    <s v="2025-04-01"/>
    <x v="12"/>
    <n v="5.1404046555574103"/>
    <n v="29.480991760319998"/>
    <s v="BRL"/>
  </r>
  <r>
    <x v="3"/>
    <s v="2025-04-01"/>
    <x v="13"/>
    <n v="1221.1558442707901"/>
    <n v="7003.51194026959"/>
    <s v="BRL"/>
  </r>
  <r>
    <x v="3"/>
    <s v="2025-04-01"/>
    <x v="14"/>
    <n v="224.995469130987"/>
    <n v="1290.3827647865801"/>
    <s v="BRL"/>
  </r>
  <r>
    <x v="3"/>
    <s v="2025-04-01"/>
    <x v="15"/>
    <n v="871.69565860584203"/>
    <n v="4999.3053564532902"/>
    <s v="BRL"/>
  </r>
  <r>
    <x v="3"/>
    <s v="2025-04-01"/>
    <x v="16"/>
    <n v="42.618823579649003"/>
    <n v="244.42534605282299"/>
    <s v="BRL"/>
  </r>
  <r>
    <x v="3"/>
    <s v="2025-04-01"/>
    <x v="17"/>
    <n v="7394.3341467682603"/>
    <n v="42407.6154818379"/>
    <s v="BRL"/>
  </r>
  <r>
    <x v="3"/>
    <s v="2025-04-01"/>
    <x v="18"/>
    <n v="1.9667428705090599"/>
    <n v="11.279565373800001"/>
    <s v="BRL"/>
  </r>
  <r>
    <x v="4"/>
    <s v="2025-03-01"/>
    <x v="0"/>
    <n v="1159.72597314327"/>
    <n v="6703.3900836640896"/>
    <s v="BRL"/>
  </r>
  <r>
    <x v="4"/>
    <s v="2025-03-01"/>
    <x v="1"/>
    <n v="69.964755209180197"/>
    <n v="404.40677982234399"/>
    <s v="BRL"/>
  </r>
  <r>
    <x v="4"/>
    <s v="2025-03-01"/>
    <x v="2"/>
    <n v="49.555706464491301"/>
    <n v="286.43941672072998"/>
    <s v="BRL"/>
  </r>
  <r>
    <x v="4"/>
    <s v="2025-03-01"/>
    <x v="3"/>
    <n v="370.066519057032"/>
    <n v="2139.03999012751"/>
    <s v="BRL"/>
  </r>
  <r>
    <x v="4"/>
    <s v="2025-03-01"/>
    <x v="4"/>
    <n v="119.199845422013"/>
    <n v="688.99298651605"/>
    <s v="BRL"/>
  </r>
  <r>
    <x v="4"/>
    <s v="2025-03-01"/>
    <x v="5"/>
    <n v="97.780156294768602"/>
    <n v="565.18397040720799"/>
    <s v="BRL"/>
  </r>
  <r>
    <x v="4"/>
    <s v="2025-03-01"/>
    <x v="6"/>
    <n v="32.451039105930498"/>
    <n v="187.57187368814499"/>
    <s v="BRL"/>
  </r>
  <r>
    <x v="4"/>
    <s v="2025-03-01"/>
    <x v="7"/>
    <n v="6.6689181570729099"/>
    <n v="38.547347285605099"/>
    <s v="BRL"/>
  </r>
  <r>
    <x v="4"/>
    <s v="2025-03-01"/>
    <x v="8"/>
    <n v="39.649677025992503"/>
    <n v="229.18108066179099"/>
    <s v="BRL"/>
  </r>
  <r>
    <x v="4"/>
    <s v="2025-03-01"/>
    <x v="9"/>
    <n v="4109.1234950769604"/>
    <n v="23751.350170069101"/>
    <s v="BRL"/>
  </r>
  <r>
    <x v="4"/>
    <s v="2025-03-01"/>
    <x v="10"/>
    <n v="1143.33843428879"/>
    <n v="6608.6676509543804"/>
    <s v="BRL"/>
  </r>
  <r>
    <x v="4"/>
    <s v="2025-03-01"/>
    <x v="11"/>
    <n v="3.39681796420507"/>
    <n v="19.634117355800001"/>
    <s v="BRL"/>
  </r>
  <r>
    <x v="4"/>
    <s v="2025-03-01"/>
    <x v="12"/>
    <n v="3.48799998456786"/>
    <n v="20.1611631108"/>
    <s v="BRL"/>
  </r>
  <r>
    <x v="4"/>
    <s v="2025-03-01"/>
    <x v="13"/>
    <n v="889.53643228452302"/>
    <n v="5141.6540090693998"/>
    <s v="BRL"/>
  </r>
  <r>
    <x v="4"/>
    <s v="2025-03-01"/>
    <x v="14"/>
    <n v="52.866260166279197"/>
    <n v="305.574913700119"/>
    <s v="BRL"/>
  </r>
  <r>
    <x v="4"/>
    <s v="2025-03-01"/>
    <x v="15"/>
    <n v="864.85837615681703"/>
    <n v="4999.0111429428398"/>
    <s v="BRL"/>
  </r>
  <r>
    <x v="4"/>
    <s v="2025-03-01"/>
    <x v="16"/>
    <n v="6.5898566731917896"/>
    <n v="38.090360049549602"/>
    <s v="BRL"/>
  </r>
  <r>
    <x v="4"/>
    <s v="2025-03-01"/>
    <x v="17"/>
    <n v="7205.4612465153696"/>
    <n v="41648.6468240459"/>
    <s v="BRL"/>
  </r>
  <r>
    <x v="4"/>
    <s v="2025-03-01"/>
    <x v="18"/>
    <n v="1.9771643166353801"/>
    <n v="11.428306324799999"/>
    <s v="BRL"/>
  </r>
  <r>
    <x v="5"/>
    <s v="2025-02-01"/>
    <x v="0"/>
    <n v="1657.8800573046501"/>
    <n v="9730.0980563209905"/>
    <s v="BRL"/>
  </r>
  <r>
    <x v="5"/>
    <s v="2025-02-01"/>
    <x v="1"/>
    <n v="89.112497971454403"/>
    <n v="523.001250594466"/>
    <s v="BRL"/>
  </r>
  <r>
    <x v="5"/>
    <s v="2025-02-01"/>
    <x v="2"/>
    <n v="52.0267275532117"/>
    <n v="305.34486400980001"/>
    <s v="BRL"/>
  </r>
  <r>
    <x v="5"/>
    <s v="2025-02-01"/>
    <x v="3"/>
    <n v="439.81880323674301"/>
    <n v="2581.2965561964502"/>
    <s v="BRL"/>
  </r>
  <r>
    <x v="5"/>
    <s v="2025-02-01"/>
    <x v="4"/>
    <n v="143.7671646096164"/>
    <n v="843.76948909383998"/>
    <s v="BRL"/>
  </r>
  <r>
    <x v="5"/>
    <s v="2025-02-01"/>
    <x v="5"/>
    <n v="129.55392509284491"/>
    <n v="760.35198636990799"/>
    <s v="BRL"/>
  </r>
  <r>
    <x v="5"/>
    <s v="2025-02-01"/>
    <x v="6"/>
    <n v="31.631179041361499"/>
    <n v="185.6433897937504"/>
    <s v="BRL"/>
  </r>
  <r>
    <x v="5"/>
    <s v="2025-02-01"/>
    <x v="7"/>
    <n v="2.9800692163648099"/>
    <n v="17.490026230845121"/>
    <s v="BRL"/>
  </r>
  <r>
    <x v="5"/>
    <s v="2025-02-01"/>
    <x v="8"/>
    <n v="44.191290384190502"/>
    <n v="259.358683264815"/>
    <s v="BRL"/>
  </r>
  <r>
    <x v="5"/>
    <s v="2025-02-01"/>
    <x v="9"/>
    <n v="3802.8205258717398"/>
    <n v="22318.753666341301"/>
    <s v="BRL"/>
  </r>
  <r>
    <x v="5"/>
    <s v="2025-02-01"/>
    <x v="10"/>
    <n v="1226.3075200581241"/>
    <n v="7197.1988352211401"/>
    <s v="BRL"/>
  </r>
  <r>
    <x v="5"/>
    <s v="2025-02-01"/>
    <x v="11"/>
    <n v="3.6728467379471201"/>
    <n v="21.555937505011698"/>
    <s v="BRL"/>
  </r>
  <r>
    <x v="5"/>
    <s v="2025-02-01"/>
    <x v="12"/>
    <n v="66.124323914806396"/>
    <n v="388.08365705599903"/>
    <s v="BRL"/>
  </r>
  <r>
    <x v="5"/>
    <s v="2025-02-01"/>
    <x v="13"/>
    <n v="2162.180390278852"/>
    <n v="12689.8367105466"/>
    <s v="BRL"/>
  </r>
  <r>
    <x v="5"/>
    <s v="2025-02-01"/>
    <x v="14"/>
    <n v="795.63059359378997"/>
    <n v="4669.5559538019597"/>
    <s v="BRL"/>
  </r>
  <r>
    <x v="5"/>
    <s v="2025-02-01"/>
    <x v="15"/>
    <n v="889.18152497968902"/>
    <n v="5218.6063701058001"/>
    <s v="BRL"/>
  </r>
  <r>
    <x v="5"/>
    <s v="2025-02-01"/>
    <x v="16"/>
    <n v="9.2592712581676899"/>
    <n v="54.342663014186201"/>
    <s v="BRL"/>
  </r>
  <r>
    <x v="5"/>
    <s v="2025-02-01"/>
    <x v="17"/>
    <n v="7895.5369135396604"/>
    <n v="46338.906145564302"/>
    <s v="BRL"/>
  </r>
  <r>
    <x v="5"/>
    <s v="2025-02-01"/>
    <x v="18"/>
    <n v="3.5588920398414898"/>
    <n v="20.887137381829799"/>
    <s v="BR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44730-6F41-459D-9FDB-3C3ED062E93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colHeaderCaption="anomes">
  <location ref="A3:E11" firstHeaderRow="1" firstDataRow="2" firstDataCol="1"/>
  <pivotFields count="6">
    <pivotField axis="axisRow" showAll="0">
      <items count="7">
        <item x="5"/>
        <item x="4"/>
        <item x="3"/>
        <item x="2"/>
        <item x="1"/>
        <item x="0"/>
        <item t="default"/>
      </items>
    </pivotField>
    <pivotField showAll="0"/>
    <pivotField axis="axisCol" showAll="0">
      <items count="20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showAll="0"/>
    <pivotField dataField="1" numFmtId="164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$Cost" fld="4" baseField="0" baseItem="0" numFmtId="164"/>
  </dataFields>
  <chartFormats count="25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Medium10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E2B8B-4B9D-4879-AA7E-FDCD3791A062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#">
  <location ref="A3:H10" firstHeaderRow="1" firstDataRow="2" firstDataCol="1"/>
  <pivotFields count="6">
    <pivotField axis="axisCol" showAll="0">
      <items count="7">
        <item x="5"/>
        <item x="4"/>
        <item x="3"/>
        <item x="2"/>
        <item x="1"/>
        <item x="0"/>
        <item t="default"/>
      </items>
    </pivotField>
    <pivotField showAll="0"/>
    <pivotField axis="axisRow" showAll="0" sortType="descending">
      <items count="20">
        <item h="1" x="0"/>
        <item x="1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h="1" x="12"/>
        <item x="13"/>
        <item x="14"/>
        <item h="1" x="15"/>
        <item h="1" x="16"/>
        <item h="1"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</pivotFields>
  <rowFields count="1">
    <field x="2"/>
  </rowFields>
  <rowItems count="6">
    <i>
      <x v="13"/>
    </i>
    <i>
      <x v="4"/>
    </i>
    <i>
      <x v="14"/>
    </i>
    <i>
      <x v="5"/>
    </i>
    <i>
      <x v="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$Cost" fld="4" baseField="0" baseItem="0" numFmtId="164"/>
  </dataFields>
  <pivotTableStyleInfo name="PivotStyleMedium10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FCBA-E70D-4891-9336-D6F52435AABD}">
  <dimension ref="A3:E11"/>
  <sheetViews>
    <sheetView workbookViewId="0">
      <selection activeCell="A9" sqref="A9"/>
    </sheetView>
  </sheetViews>
  <sheetFormatPr defaultRowHeight="14.4" x14ac:dyDescent="0.3"/>
  <cols>
    <col min="1" max="1" width="16.77734375" bestFit="1" customWidth="1"/>
    <col min="2" max="2" width="48.109375" bestFit="1" customWidth="1"/>
    <col min="3" max="3" width="49.44140625" bestFit="1" customWidth="1"/>
    <col min="4" max="4" width="47.88671875" bestFit="1" customWidth="1"/>
    <col min="5" max="5" width="11.5546875" bestFit="1" customWidth="1"/>
    <col min="6" max="6" width="14.5546875" bestFit="1" customWidth="1"/>
    <col min="7" max="7" width="24.44140625" bestFit="1" customWidth="1"/>
    <col min="8" max="8" width="15.21875" bestFit="1" customWidth="1"/>
    <col min="9" max="9" width="25.109375" bestFit="1" customWidth="1"/>
    <col min="10" max="10" width="17.6640625" bestFit="1" customWidth="1"/>
    <col min="11" max="11" width="14.44140625" bestFit="1" customWidth="1"/>
    <col min="12" max="12" width="24.33203125" bestFit="1" customWidth="1"/>
    <col min="13" max="13" width="24.5546875" bestFit="1" customWidth="1"/>
    <col min="14" max="14" width="23.6640625" bestFit="1" customWidth="1"/>
    <col min="15" max="15" width="16.33203125" bestFit="1" customWidth="1"/>
    <col min="16" max="16" width="26.33203125" bestFit="1" customWidth="1"/>
    <col min="17" max="17" width="17" bestFit="1" customWidth="1"/>
    <col min="18" max="18" width="27" bestFit="1" customWidth="1"/>
    <col min="19" max="19" width="16.21875" bestFit="1" customWidth="1"/>
    <col min="20" max="20" width="26.44140625" bestFit="1" customWidth="1"/>
    <col min="21" max="21" width="12.5546875" bestFit="1" customWidth="1"/>
  </cols>
  <sheetData>
    <row r="3" spans="1:5" x14ac:dyDescent="0.3">
      <c r="A3" s="2" t="s">
        <v>40</v>
      </c>
      <c r="B3" s="2" t="s">
        <v>41</v>
      </c>
    </row>
    <row r="4" spans="1:5" x14ac:dyDescent="0.3">
      <c r="A4" s="2" t="s">
        <v>32</v>
      </c>
      <c r="B4" t="s">
        <v>8</v>
      </c>
      <c r="C4" t="s">
        <v>9</v>
      </c>
      <c r="D4" t="s">
        <v>10</v>
      </c>
      <c r="E4" t="s">
        <v>33</v>
      </c>
    </row>
    <row r="5" spans="1:5" x14ac:dyDescent="0.3">
      <c r="A5" s="3" t="s">
        <v>34</v>
      </c>
      <c r="B5" s="1">
        <v>523.001250594466</v>
      </c>
      <c r="C5" s="1">
        <v>305.34486400980001</v>
      </c>
      <c r="D5" s="1">
        <v>2581.2965561964502</v>
      </c>
      <c r="E5" s="1">
        <v>3409.6426708007161</v>
      </c>
    </row>
    <row r="6" spans="1:5" x14ac:dyDescent="0.3">
      <c r="A6" s="3" t="s">
        <v>35</v>
      </c>
      <c r="B6" s="1">
        <v>404.40677982234399</v>
      </c>
      <c r="C6" s="1">
        <v>286.43941672072998</v>
      </c>
      <c r="D6" s="1">
        <v>2139.03999012751</v>
      </c>
      <c r="E6" s="1">
        <v>2829.8861866705838</v>
      </c>
    </row>
    <row r="7" spans="1:5" x14ac:dyDescent="0.3">
      <c r="A7" s="3" t="s">
        <v>36</v>
      </c>
      <c r="B7" s="1">
        <v>338.60305158032901</v>
      </c>
      <c r="C7" s="1">
        <v>304.18647951563202</v>
      </c>
      <c r="D7" s="1">
        <v>1586.48762586153</v>
      </c>
      <c r="E7" s="1">
        <v>2229.2771569574911</v>
      </c>
    </row>
    <row r="8" spans="1:5" x14ac:dyDescent="0.3">
      <c r="A8" s="3" t="s">
        <v>37</v>
      </c>
      <c r="B8" s="1">
        <v>374.29893022003301</v>
      </c>
      <c r="C8" s="1">
        <v>308.894901573509</v>
      </c>
      <c r="D8" s="1">
        <v>2295.9071240199501</v>
      </c>
      <c r="E8" s="1">
        <v>2979.100955813492</v>
      </c>
    </row>
    <row r="9" spans="1:5" x14ac:dyDescent="0.3">
      <c r="A9" s="3" t="s">
        <v>38</v>
      </c>
      <c r="B9" s="1">
        <v>3537.0345017995501</v>
      </c>
      <c r="C9" s="1">
        <v>2677.9175451658198</v>
      </c>
      <c r="D9" s="1">
        <v>4994.9921810146998</v>
      </c>
      <c r="E9" s="1">
        <v>11209.94422798007</v>
      </c>
    </row>
    <row r="10" spans="1:5" x14ac:dyDescent="0.3">
      <c r="A10" s="3" t="s">
        <v>39</v>
      </c>
      <c r="B10" s="1">
        <v>4977.4079528724296</v>
      </c>
      <c r="C10" s="1">
        <v>3757.5072723022599</v>
      </c>
      <c r="D10" s="1">
        <v>6324.3470446296997</v>
      </c>
      <c r="E10" s="1">
        <v>15059.262269804389</v>
      </c>
    </row>
    <row r="11" spans="1:5" x14ac:dyDescent="0.3">
      <c r="A11" s="3" t="s">
        <v>33</v>
      </c>
      <c r="B11" s="1">
        <v>10154.752466889153</v>
      </c>
      <c r="C11" s="1">
        <v>7640.2904792877507</v>
      </c>
      <c r="D11" s="1">
        <v>19922.070521849841</v>
      </c>
      <c r="E11" s="1">
        <v>37717.113468026742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82FF-5D08-4DCB-998C-52C9FF220F51}">
  <dimension ref="A3:H10"/>
  <sheetViews>
    <sheetView tabSelected="1" workbookViewId="0">
      <selection activeCell="A3" sqref="A3:H10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46.21875" bestFit="1" customWidth="1"/>
    <col min="2" max="2" width="11.5546875" bestFit="1" customWidth="1"/>
    <col min="3" max="3" width="10.5546875" bestFit="1" customWidth="1"/>
    <col min="4" max="7" width="11.5546875" bestFit="1" customWidth="1"/>
    <col min="8" max="8" width="12.5546875" bestFit="1" customWidth="1"/>
  </cols>
  <sheetData>
    <row r="3" spans="1:8" x14ac:dyDescent="0.3">
      <c r="A3" s="2" t="s">
        <v>40</v>
      </c>
      <c r="B3" s="2" t="s">
        <v>42</v>
      </c>
    </row>
    <row r="4" spans="1:8" x14ac:dyDescent="0.3">
      <c r="A4" s="2" t="s">
        <v>32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33</v>
      </c>
    </row>
    <row r="5" spans="1:8" x14ac:dyDescent="0.3">
      <c r="A5" s="3" t="s">
        <v>20</v>
      </c>
      <c r="B5" s="1">
        <v>12689.8367105466</v>
      </c>
      <c r="C5" s="1">
        <v>5141.6540090693998</v>
      </c>
      <c r="D5" s="1">
        <v>7003.51194026959</v>
      </c>
      <c r="E5" s="1">
        <v>9193.9629441062498</v>
      </c>
      <c r="F5" s="1">
        <v>9124.5557422002603</v>
      </c>
      <c r="G5" s="1">
        <v>14692.967559282601</v>
      </c>
      <c r="H5" s="1">
        <v>57846.488905474696</v>
      </c>
    </row>
    <row r="6" spans="1:8" x14ac:dyDescent="0.3">
      <c r="A6" s="3" t="s">
        <v>11</v>
      </c>
      <c r="B6" s="1">
        <v>843.76948909383998</v>
      </c>
      <c r="C6" s="1">
        <v>688.99298651605</v>
      </c>
      <c r="D6" s="1">
        <v>1173.33713297039</v>
      </c>
      <c r="E6" s="1">
        <v>1549.4549170528301</v>
      </c>
      <c r="F6" s="1">
        <v>4278.5396364792095</v>
      </c>
      <c r="G6" s="1">
        <v>6491.2501830690198</v>
      </c>
      <c r="H6" s="1">
        <v>15025.34434518134</v>
      </c>
    </row>
    <row r="7" spans="1:8" x14ac:dyDescent="0.3">
      <c r="A7" s="3" t="s">
        <v>21</v>
      </c>
      <c r="B7" s="1">
        <v>4669.5559538019597</v>
      </c>
      <c r="C7" s="1">
        <v>305.574913700119</v>
      </c>
      <c r="D7" s="1">
        <v>1290.3827647865801</v>
      </c>
      <c r="E7" s="1">
        <v>121.089193695703</v>
      </c>
      <c r="F7" s="1">
        <v>490.19309596230897</v>
      </c>
      <c r="G7" s="1">
        <v>6873.5940785983803</v>
      </c>
      <c r="H7" s="1">
        <v>13750.390000545052</v>
      </c>
    </row>
    <row r="8" spans="1:8" x14ac:dyDescent="0.3">
      <c r="A8" s="3" t="s">
        <v>12</v>
      </c>
      <c r="B8" s="1">
        <v>760.35198636990799</v>
      </c>
      <c r="C8" s="1">
        <v>565.18397040720799</v>
      </c>
      <c r="D8" s="1">
        <v>1237.23486917791</v>
      </c>
      <c r="E8" s="1">
        <v>1378.8152075072201</v>
      </c>
      <c r="F8" s="1">
        <v>4149.5128547476597</v>
      </c>
      <c r="G8" s="1">
        <v>4053.4152090543698</v>
      </c>
      <c r="H8" s="1">
        <v>12144.514097264277</v>
      </c>
    </row>
    <row r="9" spans="1:8" x14ac:dyDescent="0.3">
      <c r="A9" s="3" t="s">
        <v>8</v>
      </c>
      <c r="B9" s="1">
        <v>523.001250594466</v>
      </c>
      <c r="C9" s="1">
        <v>404.40677982234399</v>
      </c>
      <c r="D9" s="1">
        <v>338.60305158032901</v>
      </c>
      <c r="E9" s="1">
        <v>374.29893022003301</v>
      </c>
      <c r="F9" s="1">
        <v>3537.0345017995501</v>
      </c>
      <c r="G9" s="1">
        <v>4977.4079528724296</v>
      </c>
      <c r="H9" s="1">
        <v>10154.752466889153</v>
      </c>
    </row>
    <row r="10" spans="1:8" x14ac:dyDescent="0.3">
      <c r="A10" s="3" t="s">
        <v>33</v>
      </c>
      <c r="B10" s="1">
        <v>19486.515390406774</v>
      </c>
      <c r="C10" s="1">
        <v>7105.8126595151216</v>
      </c>
      <c r="D10" s="1">
        <v>11043.069758784799</v>
      </c>
      <c r="E10" s="1">
        <v>12617.621192582037</v>
      </c>
      <c r="F10" s="1">
        <v>21579.83583118899</v>
      </c>
      <c r="G10" s="1">
        <v>37088.6349828768</v>
      </c>
      <c r="H10" s="1">
        <v>108921.48981535452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0A21-8945-4EA8-83D4-C2890BE01D91}">
  <dimension ref="A1:F115"/>
  <sheetViews>
    <sheetView workbookViewId="0">
      <selection sqref="A1:F115"/>
    </sheetView>
  </sheetViews>
  <sheetFormatPr defaultRowHeight="14.4" x14ac:dyDescent="0.3"/>
  <cols>
    <col min="2" max="2" width="10.33203125" bestFit="1" customWidth="1"/>
    <col min="3" max="3" width="47.77734375" bestFit="1" customWidth="1"/>
    <col min="4" max="4" width="12" bestFit="1" customWidth="1"/>
    <col min="5" max="5" width="12" style="1" bestFit="1" customWidth="1"/>
    <col min="6" max="6" width="8.33203125" bestFit="1" customWidth="1"/>
  </cols>
  <sheetData>
    <row r="1" spans="1:6" x14ac:dyDescent="0.3">
      <c r="A1" t="s">
        <v>31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</row>
    <row r="2" spans="1:6" x14ac:dyDescent="0.3">
      <c r="A2" t="str">
        <f>LEFT(B2,4)&amp;MID(B2,6,2)</f>
        <v>202507</v>
      </c>
      <c r="B2" t="s">
        <v>5</v>
      </c>
      <c r="C2" t="s">
        <v>6</v>
      </c>
      <c r="D2">
        <v>1276.1185305955801</v>
      </c>
      <c r="E2" s="1">
        <v>7024.7134812960203</v>
      </c>
      <c r="F2" t="s">
        <v>7</v>
      </c>
    </row>
    <row r="3" spans="1:6" x14ac:dyDescent="0.3">
      <c r="A3" t="str">
        <f>LEFT(B3,4)&amp;MID(B3,6,2)</f>
        <v>202507</v>
      </c>
      <c r="B3" t="s">
        <v>5</v>
      </c>
      <c r="C3" t="s">
        <v>8</v>
      </c>
      <c r="D3">
        <v>904.20236211861004</v>
      </c>
      <c r="E3" s="1">
        <v>4977.4079528724296</v>
      </c>
      <c r="F3" t="s">
        <v>7</v>
      </c>
    </row>
    <row r="4" spans="1:6" x14ac:dyDescent="0.3">
      <c r="A4" t="str">
        <f t="shared" ref="A4:A67" si="0">LEFT(B4,4)&amp;MID(B4,6,2)</f>
        <v>202507</v>
      </c>
      <c r="B4" t="s">
        <v>5</v>
      </c>
      <c r="C4" t="s">
        <v>9</v>
      </c>
      <c r="D4">
        <v>682.593627740089</v>
      </c>
      <c r="E4" s="1">
        <v>3757.5072723022599</v>
      </c>
      <c r="F4" t="s">
        <v>7</v>
      </c>
    </row>
    <row r="5" spans="1:6" x14ac:dyDescent="0.3">
      <c r="A5" t="str">
        <f t="shared" si="0"/>
        <v>202507</v>
      </c>
      <c r="B5" t="s">
        <v>5</v>
      </c>
      <c r="C5" t="s">
        <v>10</v>
      </c>
      <c r="D5">
        <v>1148.88905847308</v>
      </c>
      <c r="E5" s="1">
        <v>6324.3470446296997</v>
      </c>
      <c r="F5" t="s">
        <v>7</v>
      </c>
    </row>
    <row r="6" spans="1:6" x14ac:dyDescent="0.3">
      <c r="A6" t="str">
        <f t="shared" si="0"/>
        <v>202507</v>
      </c>
      <c r="B6" t="s">
        <v>5</v>
      </c>
      <c r="C6" t="s">
        <v>11</v>
      </c>
      <c r="D6">
        <v>1179.2088983276301</v>
      </c>
      <c r="E6" s="1">
        <v>6491.2501830690198</v>
      </c>
      <c r="F6" t="s">
        <v>7</v>
      </c>
    </row>
    <row r="7" spans="1:6" x14ac:dyDescent="0.3">
      <c r="A7" t="str">
        <f t="shared" si="0"/>
        <v>202507</v>
      </c>
      <c r="B7" t="s">
        <v>5</v>
      </c>
      <c r="C7" t="s">
        <v>12</v>
      </c>
      <c r="D7">
        <v>736.34864599743105</v>
      </c>
      <c r="E7" s="1">
        <v>4053.4152090543698</v>
      </c>
      <c r="F7" t="s">
        <v>7</v>
      </c>
    </row>
    <row r="8" spans="1:6" x14ac:dyDescent="0.3">
      <c r="A8" t="str">
        <f t="shared" si="0"/>
        <v>202507</v>
      </c>
      <c r="B8" t="s">
        <v>5</v>
      </c>
      <c r="C8" t="s">
        <v>13</v>
      </c>
      <c r="D8">
        <v>32.719615879050998</v>
      </c>
      <c r="E8" s="1">
        <v>180.113305510206</v>
      </c>
      <c r="F8" t="s">
        <v>7</v>
      </c>
    </row>
    <row r="9" spans="1:6" x14ac:dyDescent="0.3">
      <c r="A9" t="str">
        <f t="shared" si="0"/>
        <v>202507</v>
      </c>
      <c r="B9" t="s">
        <v>5</v>
      </c>
      <c r="C9" t="s">
        <v>14</v>
      </c>
      <c r="D9">
        <v>3.2194942563512998</v>
      </c>
      <c r="E9" s="1">
        <v>17.7225110076498</v>
      </c>
      <c r="F9" t="s">
        <v>7</v>
      </c>
    </row>
    <row r="10" spans="1:6" x14ac:dyDescent="0.3">
      <c r="A10" t="str">
        <f t="shared" si="0"/>
        <v>202507</v>
      </c>
      <c r="B10" t="s">
        <v>5</v>
      </c>
      <c r="C10" t="s">
        <v>15</v>
      </c>
      <c r="D10">
        <v>41.629417379861103</v>
      </c>
      <c r="E10" s="1">
        <v>229.159535321791</v>
      </c>
      <c r="F10" t="s">
        <v>7</v>
      </c>
    </row>
    <row r="11" spans="1:6" x14ac:dyDescent="0.3">
      <c r="A11" t="str">
        <f t="shared" si="0"/>
        <v>202507</v>
      </c>
      <c r="B11" t="s">
        <v>5</v>
      </c>
      <c r="C11" t="s">
        <v>16</v>
      </c>
      <c r="D11">
        <v>4428.3021311555403</v>
      </c>
      <c r="E11" s="1">
        <v>24376.696156478502</v>
      </c>
      <c r="F11" t="s">
        <v>7</v>
      </c>
    </row>
    <row r="12" spans="1:6" x14ac:dyDescent="0.3">
      <c r="A12" t="str">
        <f t="shared" si="0"/>
        <v>202507</v>
      </c>
      <c r="B12" t="s">
        <v>5</v>
      </c>
      <c r="C12" t="s">
        <v>17</v>
      </c>
      <c r="D12">
        <v>1608.52813597309</v>
      </c>
      <c r="E12" s="1">
        <v>8854.5452564978605</v>
      </c>
      <c r="F12" t="s">
        <v>7</v>
      </c>
    </row>
    <row r="13" spans="1:6" x14ac:dyDescent="0.3">
      <c r="A13" t="str">
        <f t="shared" si="0"/>
        <v>202507</v>
      </c>
      <c r="B13" t="s">
        <v>5</v>
      </c>
      <c r="C13" t="s">
        <v>18</v>
      </c>
      <c r="D13">
        <v>3.5580808051228399</v>
      </c>
      <c r="E13" s="1">
        <v>19.586345311999999</v>
      </c>
      <c r="F13" t="s">
        <v>7</v>
      </c>
    </row>
    <row r="14" spans="1:6" x14ac:dyDescent="0.3">
      <c r="A14" t="str">
        <f t="shared" si="0"/>
        <v>202507</v>
      </c>
      <c r="B14" t="s">
        <v>5</v>
      </c>
      <c r="C14" t="s">
        <v>19</v>
      </c>
      <c r="D14">
        <v>7.1847903947318104</v>
      </c>
      <c r="E14" s="1">
        <v>39.550474925400003</v>
      </c>
      <c r="F14" t="s">
        <v>7</v>
      </c>
    </row>
    <row r="15" spans="1:6" x14ac:dyDescent="0.3">
      <c r="A15" t="str">
        <f t="shared" si="0"/>
        <v>202507</v>
      </c>
      <c r="B15" t="s">
        <v>5</v>
      </c>
      <c r="C15" t="s">
        <v>20</v>
      </c>
      <c r="D15">
        <v>2669.1434777751201</v>
      </c>
      <c r="E15" s="1">
        <v>14692.967559282601</v>
      </c>
      <c r="F15" t="s">
        <v>7</v>
      </c>
    </row>
    <row r="16" spans="1:6" x14ac:dyDescent="0.3">
      <c r="A16" t="str">
        <f t="shared" si="0"/>
        <v>202507</v>
      </c>
      <c r="B16" t="s">
        <v>5</v>
      </c>
      <c r="C16" t="s">
        <v>21</v>
      </c>
      <c r="D16">
        <v>1248.6659845766601</v>
      </c>
      <c r="E16" s="1">
        <v>6873.5940785983803</v>
      </c>
      <c r="F16" t="s">
        <v>7</v>
      </c>
    </row>
    <row r="17" spans="1:6" x14ac:dyDescent="0.3">
      <c r="A17" t="str">
        <f t="shared" si="0"/>
        <v>202507</v>
      </c>
      <c r="B17" t="s">
        <v>5</v>
      </c>
      <c r="C17" t="s">
        <v>22</v>
      </c>
      <c r="D17">
        <v>1272.3364397985099</v>
      </c>
      <c r="E17" s="1">
        <v>7003.8940169808502</v>
      </c>
      <c r="F17" t="s">
        <v>7</v>
      </c>
    </row>
    <row r="18" spans="1:6" x14ac:dyDescent="0.3">
      <c r="A18" t="str">
        <f t="shared" si="0"/>
        <v>202507</v>
      </c>
      <c r="B18" t="s">
        <v>5</v>
      </c>
      <c r="C18" t="s">
        <v>23</v>
      </c>
      <c r="D18">
        <v>1.8749411251446499</v>
      </c>
      <c r="E18" s="1">
        <v>10.321082158639999</v>
      </c>
      <c r="F18" t="s">
        <v>7</v>
      </c>
    </row>
    <row r="19" spans="1:6" x14ac:dyDescent="0.3">
      <c r="A19" t="str">
        <f t="shared" si="0"/>
        <v>202507</v>
      </c>
      <c r="B19" t="s">
        <v>5</v>
      </c>
      <c r="C19" t="s">
        <v>24</v>
      </c>
      <c r="D19">
        <v>8456.5283562086006</v>
      </c>
      <c r="E19" s="1">
        <v>46551.074468839397</v>
      </c>
      <c r="F19" t="s">
        <v>7</v>
      </c>
    </row>
    <row r="20" spans="1:6" x14ac:dyDescent="0.3">
      <c r="A20" t="str">
        <f t="shared" si="0"/>
        <v>202507</v>
      </c>
      <c r="B20" t="s">
        <v>5</v>
      </c>
      <c r="C20" t="s">
        <v>25</v>
      </c>
      <c r="D20">
        <v>3.59245138017166</v>
      </c>
      <c r="E20" s="1">
        <v>19.775546734999999</v>
      </c>
      <c r="F20" t="s">
        <v>7</v>
      </c>
    </row>
    <row r="21" spans="1:6" x14ac:dyDescent="0.3">
      <c r="A21" t="str">
        <f t="shared" si="0"/>
        <v>202506</v>
      </c>
      <c r="B21" t="s">
        <v>26</v>
      </c>
      <c r="C21" t="s">
        <v>6</v>
      </c>
      <c r="D21">
        <v>1178.24820624377</v>
      </c>
      <c r="E21" s="1">
        <v>6713.8939288182801</v>
      </c>
      <c r="F21" t="s">
        <v>7</v>
      </c>
    </row>
    <row r="22" spans="1:6" x14ac:dyDescent="0.3">
      <c r="A22" t="str">
        <f t="shared" si="0"/>
        <v>202506</v>
      </c>
      <c r="B22" t="s">
        <v>26</v>
      </c>
      <c r="C22" t="s">
        <v>8</v>
      </c>
      <c r="D22">
        <v>620.72838822778101</v>
      </c>
      <c r="E22" s="1">
        <v>3537.0345017995501</v>
      </c>
      <c r="F22" t="s">
        <v>7</v>
      </c>
    </row>
    <row r="23" spans="1:6" x14ac:dyDescent="0.3">
      <c r="A23" t="str">
        <f t="shared" si="0"/>
        <v>202506</v>
      </c>
      <c r="B23" t="s">
        <v>26</v>
      </c>
      <c r="C23" t="s">
        <v>9</v>
      </c>
      <c r="D23">
        <v>469.95850359162802</v>
      </c>
      <c r="E23" s="1">
        <v>2677.9175451658198</v>
      </c>
      <c r="F23" t="s">
        <v>7</v>
      </c>
    </row>
    <row r="24" spans="1:6" x14ac:dyDescent="0.3">
      <c r="A24" t="str">
        <f t="shared" si="0"/>
        <v>202506</v>
      </c>
      <c r="B24" t="s">
        <v>26</v>
      </c>
      <c r="C24" t="s">
        <v>10</v>
      </c>
      <c r="D24">
        <v>876.59123600693101</v>
      </c>
      <c r="E24" s="1">
        <v>4994.9921810146998</v>
      </c>
      <c r="F24" t="s">
        <v>7</v>
      </c>
    </row>
    <row r="25" spans="1:6" x14ac:dyDescent="0.3">
      <c r="A25" t="str">
        <f t="shared" si="0"/>
        <v>202506</v>
      </c>
      <c r="B25" t="s">
        <v>26</v>
      </c>
      <c r="C25" t="s">
        <v>11</v>
      </c>
      <c r="D25">
        <v>750.85810194082399</v>
      </c>
      <c r="E25" s="1">
        <v>4278.5396364792095</v>
      </c>
      <c r="F25" t="s">
        <v>7</v>
      </c>
    </row>
    <row r="26" spans="1:6" x14ac:dyDescent="0.3">
      <c r="A26" t="str">
        <f t="shared" si="0"/>
        <v>202506</v>
      </c>
      <c r="B26" t="s">
        <v>26</v>
      </c>
      <c r="C26" t="s">
        <v>12</v>
      </c>
      <c r="D26">
        <v>728.21467388783401</v>
      </c>
      <c r="E26" s="1">
        <v>4149.5128547476597</v>
      </c>
      <c r="F26" t="s">
        <v>7</v>
      </c>
    </row>
    <row r="27" spans="1:6" x14ac:dyDescent="0.3">
      <c r="A27" t="str">
        <f t="shared" si="0"/>
        <v>202506</v>
      </c>
      <c r="B27" t="s">
        <v>26</v>
      </c>
      <c r="C27" t="s">
        <v>13</v>
      </c>
      <c r="D27">
        <v>54.636151027973803</v>
      </c>
      <c r="E27" s="1">
        <v>311.32771578760099</v>
      </c>
      <c r="F27" t="s">
        <v>7</v>
      </c>
    </row>
    <row r="28" spans="1:6" x14ac:dyDescent="0.3">
      <c r="A28" t="str">
        <f t="shared" si="0"/>
        <v>202506</v>
      </c>
      <c r="B28" t="s">
        <v>26</v>
      </c>
      <c r="C28" t="s">
        <v>14</v>
      </c>
      <c r="D28">
        <v>20.1713739753508</v>
      </c>
      <c r="E28" s="1">
        <v>114.940523186344</v>
      </c>
      <c r="F28" t="s">
        <v>7</v>
      </c>
    </row>
    <row r="29" spans="1:6" x14ac:dyDescent="0.3">
      <c r="A29" t="str">
        <f t="shared" si="0"/>
        <v>202506</v>
      </c>
      <c r="B29" t="s">
        <v>26</v>
      </c>
      <c r="C29" t="s">
        <v>15</v>
      </c>
      <c r="D29">
        <v>39.378796967097202</v>
      </c>
      <c r="E29" s="1">
        <v>224.38826087791401</v>
      </c>
      <c r="F29" t="s">
        <v>7</v>
      </c>
    </row>
    <row r="30" spans="1:6" x14ac:dyDescent="0.3">
      <c r="A30" t="str">
        <f t="shared" si="0"/>
        <v>202506</v>
      </c>
      <c r="B30" t="s">
        <v>26</v>
      </c>
      <c r="C30" t="s">
        <v>16</v>
      </c>
      <c r="D30">
        <v>4021.3456165407301</v>
      </c>
      <c r="E30" s="1">
        <v>22914.431592172401</v>
      </c>
      <c r="F30" t="s">
        <v>7</v>
      </c>
    </row>
    <row r="31" spans="1:6" x14ac:dyDescent="0.3">
      <c r="A31" t="str">
        <f t="shared" si="0"/>
        <v>202506</v>
      </c>
      <c r="B31" t="s">
        <v>26</v>
      </c>
      <c r="C31" t="s">
        <v>17</v>
      </c>
      <c r="D31">
        <v>1138.22480779329</v>
      </c>
      <c r="E31" s="1">
        <v>6485.8325997677202</v>
      </c>
      <c r="F31" t="s">
        <v>7</v>
      </c>
    </row>
    <row r="32" spans="1:6" x14ac:dyDescent="0.3">
      <c r="A32" t="str">
        <f t="shared" si="0"/>
        <v>202506</v>
      </c>
      <c r="B32" t="s">
        <v>26</v>
      </c>
      <c r="C32" t="s">
        <v>18</v>
      </c>
      <c r="D32">
        <v>3.3156350391351599</v>
      </c>
      <c r="E32" s="1">
        <v>18.893151580000001</v>
      </c>
      <c r="F32" t="s">
        <v>7</v>
      </c>
    </row>
    <row r="33" spans="1:6" x14ac:dyDescent="0.3">
      <c r="A33" t="str">
        <f t="shared" si="0"/>
        <v>202506</v>
      </c>
      <c r="B33" t="s">
        <v>26</v>
      </c>
      <c r="C33" t="s">
        <v>19</v>
      </c>
      <c r="D33">
        <v>6.8510906465410004</v>
      </c>
      <c r="E33" s="1">
        <v>39.038884722120002</v>
      </c>
      <c r="F33" t="s">
        <v>7</v>
      </c>
    </row>
    <row r="34" spans="1:6" x14ac:dyDescent="0.3">
      <c r="A34" t="str">
        <f t="shared" si="0"/>
        <v>202506</v>
      </c>
      <c r="B34" t="s">
        <v>26</v>
      </c>
      <c r="C34" t="s">
        <v>20</v>
      </c>
      <c r="D34">
        <v>1601.3049282580901</v>
      </c>
      <c r="E34" s="1">
        <v>9124.5557422002603</v>
      </c>
      <c r="F34" t="s">
        <v>7</v>
      </c>
    </row>
    <row r="35" spans="1:6" x14ac:dyDescent="0.3">
      <c r="A35" t="str">
        <f t="shared" si="0"/>
        <v>202506</v>
      </c>
      <c r="B35" t="s">
        <v>26</v>
      </c>
      <c r="C35" t="s">
        <v>21</v>
      </c>
      <c r="D35">
        <v>86.025954856324503</v>
      </c>
      <c r="E35" s="1">
        <v>490.19309596230897</v>
      </c>
      <c r="F35" t="s">
        <v>7</v>
      </c>
    </row>
    <row r="36" spans="1:6" x14ac:dyDescent="0.3">
      <c r="A36" t="str">
        <f t="shared" si="0"/>
        <v>202506</v>
      </c>
      <c r="B36" t="s">
        <v>26</v>
      </c>
      <c r="C36" t="s">
        <v>22</v>
      </c>
      <c r="D36">
        <v>862.91488849365101</v>
      </c>
      <c r="E36" s="1">
        <v>4917.0616176145304</v>
      </c>
      <c r="F36" t="s">
        <v>7</v>
      </c>
    </row>
    <row r="37" spans="1:6" x14ac:dyDescent="0.3">
      <c r="A37" t="str">
        <f t="shared" si="0"/>
        <v>202506</v>
      </c>
      <c r="B37" t="s">
        <v>26</v>
      </c>
      <c r="C37" t="s">
        <v>23</v>
      </c>
      <c r="D37">
        <v>15.1942787701512</v>
      </c>
      <c r="E37" s="1">
        <v>86.580039288075696</v>
      </c>
      <c r="F37" t="s">
        <v>7</v>
      </c>
    </row>
    <row r="38" spans="1:6" x14ac:dyDescent="0.3">
      <c r="A38" t="str">
        <f t="shared" si="0"/>
        <v>202506</v>
      </c>
      <c r="B38" t="s">
        <v>26</v>
      </c>
      <c r="C38" t="s">
        <v>24</v>
      </c>
      <c r="D38">
        <v>7789.5273531809298</v>
      </c>
      <c r="E38" s="1">
        <v>44386.284763895601</v>
      </c>
      <c r="F38" t="s">
        <v>7</v>
      </c>
    </row>
    <row r="39" spans="1:6" x14ac:dyDescent="0.3">
      <c r="A39" t="str">
        <f t="shared" si="0"/>
        <v>202506</v>
      </c>
      <c r="B39" t="s">
        <v>26</v>
      </c>
      <c r="C39" t="s">
        <v>25</v>
      </c>
      <c r="D39">
        <v>3.3013698696956899</v>
      </c>
      <c r="E39" s="1">
        <v>18.811865791500001</v>
      </c>
      <c r="F39" t="s">
        <v>7</v>
      </c>
    </row>
    <row r="40" spans="1:6" x14ac:dyDescent="0.3">
      <c r="A40" t="str">
        <f t="shared" si="0"/>
        <v>202505</v>
      </c>
      <c r="B40" t="s">
        <v>27</v>
      </c>
      <c r="C40" t="s">
        <v>6</v>
      </c>
      <c r="D40">
        <v>1161.29771239722</v>
      </c>
      <c r="E40" s="1">
        <v>6589.2032201418497</v>
      </c>
      <c r="F40" t="s">
        <v>7</v>
      </c>
    </row>
    <row r="41" spans="1:6" x14ac:dyDescent="0.3">
      <c r="A41" t="str">
        <f t="shared" si="0"/>
        <v>202505</v>
      </c>
      <c r="B41" t="s">
        <v>27</v>
      </c>
      <c r="C41" t="s">
        <v>8</v>
      </c>
      <c r="D41">
        <v>65.9673828375102</v>
      </c>
      <c r="E41" s="1">
        <v>374.29893022003301</v>
      </c>
      <c r="F41" t="s">
        <v>7</v>
      </c>
    </row>
    <row r="42" spans="1:6" x14ac:dyDescent="0.3">
      <c r="A42" t="str">
        <f t="shared" si="0"/>
        <v>202505</v>
      </c>
      <c r="B42" t="s">
        <v>27</v>
      </c>
      <c r="C42" t="s">
        <v>9</v>
      </c>
      <c r="D42">
        <v>54.440412684791902</v>
      </c>
      <c r="E42" s="1">
        <v>308.894901573509</v>
      </c>
      <c r="F42" t="s">
        <v>7</v>
      </c>
    </row>
    <row r="43" spans="1:6" x14ac:dyDescent="0.3">
      <c r="A43" t="str">
        <f t="shared" si="0"/>
        <v>202505</v>
      </c>
      <c r="B43" t="s">
        <v>27</v>
      </c>
      <c r="C43" t="s">
        <v>10</v>
      </c>
      <c r="D43">
        <v>404.63643356008902</v>
      </c>
      <c r="E43" s="1">
        <v>2295.9071240199501</v>
      </c>
      <c r="F43" t="s">
        <v>7</v>
      </c>
    </row>
    <row r="44" spans="1:6" x14ac:dyDescent="0.3">
      <c r="A44" t="str">
        <f t="shared" si="0"/>
        <v>202505</v>
      </c>
      <c r="B44" t="s">
        <v>27</v>
      </c>
      <c r="C44" t="s">
        <v>11</v>
      </c>
      <c r="D44">
        <v>273.07982323807403</v>
      </c>
      <c r="E44" s="1">
        <v>1549.4549170528301</v>
      </c>
      <c r="F44" t="s">
        <v>7</v>
      </c>
    </row>
    <row r="45" spans="1:6" x14ac:dyDescent="0.3">
      <c r="A45" t="str">
        <f t="shared" si="0"/>
        <v>202505</v>
      </c>
      <c r="B45" t="s">
        <v>27</v>
      </c>
      <c r="C45" t="s">
        <v>12</v>
      </c>
      <c r="D45">
        <v>243.00585257441401</v>
      </c>
      <c r="E45" s="1">
        <v>1378.8152075072201</v>
      </c>
      <c r="F45" t="s">
        <v>7</v>
      </c>
    </row>
    <row r="46" spans="1:6" x14ac:dyDescent="0.3">
      <c r="A46" t="str">
        <f t="shared" si="0"/>
        <v>202505</v>
      </c>
      <c r="B46" t="s">
        <v>27</v>
      </c>
      <c r="C46" t="s">
        <v>13</v>
      </c>
      <c r="D46">
        <v>37.558844574166201</v>
      </c>
      <c r="E46" s="1">
        <v>213.10888411381899</v>
      </c>
      <c r="F46" t="s">
        <v>7</v>
      </c>
    </row>
    <row r="47" spans="1:6" x14ac:dyDescent="0.3">
      <c r="A47" t="str">
        <f t="shared" si="0"/>
        <v>202505</v>
      </c>
      <c r="B47" t="s">
        <v>27</v>
      </c>
      <c r="C47" t="s">
        <v>14</v>
      </c>
      <c r="D47">
        <v>16.542023263875901</v>
      </c>
      <c r="E47" s="1">
        <v>93.859439999231597</v>
      </c>
      <c r="F47" t="s">
        <v>7</v>
      </c>
    </row>
    <row r="48" spans="1:6" x14ac:dyDescent="0.3">
      <c r="A48" t="str">
        <f t="shared" si="0"/>
        <v>202505</v>
      </c>
      <c r="B48" t="s">
        <v>27</v>
      </c>
      <c r="C48" t="s">
        <v>15</v>
      </c>
      <c r="D48">
        <v>40.387051852025202</v>
      </c>
      <c r="E48" s="1">
        <v>229.156132208391</v>
      </c>
      <c r="F48" t="s">
        <v>7</v>
      </c>
    </row>
    <row r="49" spans="1:6" x14ac:dyDescent="0.3">
      <c r="A49" t="str">
        <f t="shared" si="0"/>
        <v>202505</v>
      </c>
      <c r="B49" t="s">
        <v>27</v>
      </c>
      <c r="C49" t="s">
        <v>16</v>
      </c>
      <c r="D49">
        <v>4176.8902422221299</v>
      </c>
      <c r="E49" s="1">
        <v>23699.675234368398</v>
      </c>
      <c r="F49" t="s">
        <v>7</v>
      </c>
    </row>
    <row r="50" spans="1:6" x14ac:dyDescent="0.3">
      <c r="A50" t="str">
        <f t="shared" si="0"/>
        <v>202505</v>
      </c>
      <c r="B50" t="s">
        <v>27</v>
      </c>
      <c r="C50" t="s">
        <v>17</v>
      </c>
      <c r="D50">
        <v>1159.0393621144201</v>
      </c>
      <c r="E50" s="1">
        <v>6576.3893406372199</v>
      </c>
      <c r="F50" t="s">
        <v>7</v>
      </c>
    </row>
    <row r="51" spans="1:6" x14ac:dyDescent="0.3">
      <c r="A51" t="str">
        <f t="shared" si="0"/>
        <v>202505</v>
      </c>
      <c r="B51" t="s">
        <v>27</v>
      </c>
      <c r="C51" t="s">
        <v>18</v>
      </c>
      <c r="D51">
        <v>2.4821253595347201</v>
      </c>
      <c r="E51" s="1">
        <v>14.083579289999999</v>
      </c>
      <c r="F51" t="s">
        <v>7</v>
      </c>
    </row>
    <row r="52" spans="1:6" x14ac:dyDescent="0.3">
      <c r="A52" t="str">
        <f t="shared" si="0"/>
        <v>202505</v>
      </c>
      <c r="B52" t="s">
        <v>27</v>
      </c>
      <c r="C52" t="s">
        <v>19</v>
      </c>
      <c r="D52">
        <v>6.9698902305674997</v>
      </c>
      <c r="E52" s="1">
        <v>39.547157168239998</v>
      </c>
      <c r="F52" t="s">
        <v>7</v>
      </c>
    </row>
    <row r="53" spans="1:6" x14ac:dyDescent="0.3">
      <c r="A53" t="str">
        <f t="shared" si="0"/>
        <v>202505</v>
      </c>
      <c r="B53" t="s">
        <v>27</v>
      </c>
      <c r="C53" t="s">
        <v>20</v>
      </c>
      <c r="D53">
        <v>1620.36710329684</v>
      </c>
      <c r="E53" s="1">
        <v>9193.9629441062498</v>
      </c>
      <c r="F53" t="s">
        <v>7</v>
      </c>
    </row>
    <row r="54" spans="1:6" x14ac:dyDescent="0.3">
      <c r="A54" t="str">
        <f t="shared" si="0"/>
        <v>202505</v>
      </c>
      <c r="B54" t="s">
        <v>27</v>
      </c>
      <c r="C54" t="s">
        <v>21</v>
      </c>
      <c r="D54">
        <v>21.341063393673402</v>
      </c>
      <c r="E54" s="1">
        <v>121.089193695703</v>
      </c>
      <c r="F54" t="s">
        <v>7</v>
      </c>
    </row>
    <row r="55" spans="1:6" x14ac:dyDescent="0.3">
      <c r="A55" t="str">
        <f t="shared" si="0"/>
        <v>202505</v>
      </c>
      <c r="B55" t="s">
        <v>27</v>
      </c>
      <c r="C55" t="s">
        <v>22</v>
      </c>
      <c r="D55">
        <v>897.73740596253595</v>
      </c>
      <c r="E55" s="1">
        <v>5093.7620414314297</v>
      </c>
      <c r="F55" t="s">
        <v>7</v>
      </c>
    </row>
    <row r="56" spans="1:6" x14ac:dyDescent="0.3">
      <c r="A56" t="str">
        <f t="shared" si="0"/>
        <v>202505</v>
      </c>
      <c r="B56" t="s">
        <v>27</v>
      </c>
      <c r="C56" t="s">
        <v>23</v>
      </c>
      <c r="D56">
        <v>21.900956874846901</v>
      </c>
      <c r="E56" s="1">
        <v>124.266029307881</v>
      </c>
      <c r="F56" t="s">
        <v>7</v>
      </c>
    </row>
    <row r="57" spans="1:6" x14ac:dyDescent="0.3">
      <c r="A57" t="str">
        <f t="shared" si="0"/>
        <v>202505</v>
      </c>
      <c r="B57" t="s">
        <v>27</v>
      </c>
      <c r="C57" t="s">
        <v>24</v>
      </c>
      <c r="D57">
        <v>8231.1567354468807</v>
      </c>
      <c r="E57" s="1">
        <v>46703.5833169256</v>
      </c>
      <c r="F57" t="s">
        <v>7</v>
      </c>
    </row>
    <row r="58" spans="1:6" x14ac:dyDescent="0.3">
      <c r="A58" t="str">
        <f t="shared" si="0"/>
        <v>202505</v>
      </c>
      <c r="B58" t="s">
        <v>27</v>
      </c>
      <c r="C58" t="s">
        <v>25</v>
      </c>
      <c r="D58">
        <v>2.393199376454</v>
      </c>
      <c r="E58" s="1">
        <v>13.579013262</v>
      </c>
      <c r="F58" t="s">
        <v>7</v>
      </c>
    </row>
    <row r="59" spans="1:6" x14ac:dyDescent="0.3">
      <c r="A59" t="str">
        <f t="shared" si="0"/>
        <v>202504</v>
      </c>
      <c r="B59" t="s">
        <v>28</v>
      </c>
      <c r="C59" t="s">
        <v>6</v>
      </c>
      <c r="D59">
        <v>1131.3885026932501</v>
      </c>
      <c r="E59" s="1">
        <v>6488.6827712211898</v>
      </c>
      <c r="F59" t="s">
        <v>7</v>
      </c>
    </row>
    <row r="60" spans="1:6" x14ac:dyDescent="0.3">
      <c r="A60" t="str">
        <f t="shared" si="0"/>
        <v>202504</v>
      </c>
      <c r="B60" t="s">
        <v>28</v>
      </c>
      <c r="C60" t="s">
        <v>8</v>
      </c>
      <c r="D60">
        <v>59.039964356700203</v>
      </c>
      <c r="E60" s="1">
        <v>338.60305158032901</v>
      </c>
      <c r="F60" t="s">
        <v>7</v>
      </c>
    </row>
    <row r="61" spans="1:6" x14ac:dyDescent="0.3">
      <c r="A61" t="str">
        <f t="shared" si="0"/>
        <v>202504</v>
      </c>
      <c r="B61" t="s">
        <v>28</v>
      </c>
      <c r="C61" t="s">
        <v>9</v>
      </c>
      <c r="D61">
        <v>53.038975356465301</v>
      </c>
      <c r="E61" s="1">
        <v>304.18647951563202</v>
      </c>
      <c r="F61" t="s">
        <v>7</v>
      </c>
    </row>
    <row r="62" spans="1:6" x14ac:dyDescent="0.3">
      <c r="A62" t="str">
        <f t="shared" si="0"/>
        <v>202504</v>
      </c>
      <c r="B62" t="s">
        <v>28</v>
      </c>
      <c r="C62" t="s">
        <v>10</v>
      </c>
      <c r="D62">
        <v>276.62530637586298</v>
      </c>
      <c r="E62" s="1">
        <v>1586.48762586153</v>
      </c>
      <c r="F62" t="s">
        <v>7</v>
      </c>
    </row>
    <row r="63" spans="1:6" x14ac:dyDescent="0.3">
      <c r="A63" t="str">
        <f t="shared" si="0"/>
        <v>202504</v>
      </c>
      <c r="B63" t="s">
        <v>28</v>
      </c>
      <c r="C63" t="s">
        <v>11</v>
      </c>
      <c r="D63">
        <v>204.586999986119</v>
      </c>
      <c r="E63" s="1">
        <v>1173.33713297039</v>
      </c>
      <c r="F63" t="s">
        <v>7</v>
      </c>
    </row>
    <row r="64" spans="1:6" x14ac:dyDescent="0.3">
      <c r="A64" t="str">
        <f t="shared" si="0"/>
        <v>202504</v>
      </c>
      <c r="B64" t="s">
        <v>28</v>
      </c>
      <c r="C64" t="s">
        <v>12</v>
      </c>
      <c r="D64">
        <v>215.72842369910401</v>
      </c>
      <c r="E64" s="1">
        <v>1237.23486917791</v>
      </c>
      <c r="F64" t="s">
        <v>7</v>
      </c>
    </row>
    <row r="65" spans="1:6" x14ac:dyDescent="0.3">
      <c r="A65" t="str">
        <f t="shared" si="0"/>
        <v>202504</v>
      </c>
      <c r="B65" t="s">
        <v>28</v>
      </c>
      <c r="C65" t="s">
        <v>13</v>
      </c>
      <c r="D65">
        <v>34.520722580743701</v>
      </c>
      <c r="E65" s="1">
        <v>197.98152210895199</v>
      </c>
      <c r="F65" t="s">
        <v>7</v>
      </c>
    </row>
    <row r="66" spans="1:6" x14ac:dyDescent="0.3">
      <c r="A66" t="str">
        <f t="shared" si="0"/>
        <v>202504</v>
      </c>
      <c r="B66" t="s">
        <v>28</v>
      </c>
      <c r="C66" t="s">
        <v>14</v>
      </c>
      <c r="D66">
        <v>12.411670579952901</v>
      </c>
      <c r="E66" s="1">
        <v>71.182792526616794</v>
      </c>
      <c r="F66" t="s">
        <v>7</v>
      </c>
    </row>
    <row r="67" spans="1:6" x14ac:dyDescent="0.3">
      <c r="A67" t="str">
        <f t="shared" si="0"/>
        <v>202504</v>
      </c>
      <c r="B67" t="s">
        <v>28</v>
      </c>
      <c r="C67" t="s">
        <v>15</v>
      </c>
      <c r="D67">
        <v>39.1259979656529</v>
      </c>
      <c r="E67" s="1">
        <v>224.39346723271399</v>
      </c>
      <c r="F67" t="s">
        <v>7</v>
      </c>
    </row>
    <row r="68" spans="1:6" x14ac:dyDescent="0.3">
      <c r="A68" t="str">
        <f t="shared" ref="A68:A115" si="1">LEFT(B68,4)&amp;MID(B68,6,2)</f>
        <v>202504</v>
      </c>
      <c r="B68" t="s">
        <v>28</v>
      </c>
      <c r="C68" t="s">
        <v>16</v>
      </c>
      <c r="D68">
        <v>4095.3826220168798</v>
      </c>
      <c r="E68" s="1">
        <v>23487.633644660102</v>
      </c>
      <c r="F68" t="s">
        <v>7</v>
      </c>
    </row>
    <row r="69" spans="1:6" x14ac:dyDescent="0.3">
      <c r="A69" t="str">
        <f t="shared" si="1"/>
        <v>202504</v>
      </c>
      <c r="B69" t="s">
        <v>28</v>
      </c>
      <c r="C69" t="s">
        <v>17</v>
      </c>
      <c r="D69">
        <v>1150.5682803724601</v>
      </c>
      <c r="E69" s="1">
        <v>6598.6816731781</v>
      </c>
      <c r="F69" t="s">
        <v>7</v>
      </c>
    </row>
    <row r="70" spans="1:6" x14ac:dyDescent="0.3">
      <c r="A70" t="str">
        <f t="shared" si="1"/>
        <v>202504</v>
      </c>
      <c r="B70" t="s">
        <v>28</v>
      </c>
      <c r="C70" t="s">
        <v>18</v>
      </c>
      <c r="D70">
        <v>3.3114587501286001</v>
      </c>
      <c r="E70" s="1">
        <v>18.9917126508</v>
      </c>
      <c r="F70" t="s">
        <v>7</v>
      </c>
    </row>
    <row r="71" spans="1:6" x14ac:dyDescent="0.3">
      <c r="A71" t="str">
        <f t="shared" si="1"/>
        <v>202504</v>
      </c>
      <c r="B71" t="s">
        <v>28</v>
      </c>
      <c r="C71" t="s">
        <v>19</v>
      </c>
      <c r="D71">
        <v>5.1404046555574103</v>
      </c>
      <c r="E71" s="1">
        <v>29.480991760319998</v>
      </c>
      <c r="F71" t="s">
        <v>7</v>
      </c>
    </row>
    <row r="72" spans="1:6" x14ac:dyDescent="0.3">
      <c r="A72" t="str">
        <f t="shared" si="1"/>
        <v>202504</v>
      </c>
      <c r="B72" t="s">
        <v>28</v>
      </c>
      <c r="C72" t="s">
        <v>20</v>
      </c>
      <c r="D72">
        <v>1221.1558442707901</v>
      </c>
      <c r="E72" s="1">
        <v>7003.51194026959</v>
      </c>
      <c r="F72" t="s">
        <v>7</v>
      </c>
    </row>
    <row r="73" spans="1:6" x14ac:dyDescent="0.3">
      <c r="A73" t="str">
        <f t="shared" si="1"/>
        <v>202504</v>
      </c>
      <c r="B73" t="s">
        <v>28</v>
      </c>
      <c r="C73" t="s">
        <v>21</v>
      </c>
      <c r="D73">
        <v>224.995469130987</v>
      </c>
      <c r="E73" s="1">
        <v>1290.3827647865801</v>
      </c>
      <c r="F73" t="s">
        <v>7</v>
      </c>
    </row>
    <row r="74" spans="1:6" x14ac:dyDescent="0.3">
      <c r="A74" t="str">
        <f t="shared" si="1"/>
        <v>202504</v>
      </c>
      <c r="B74" t="s">
        <v>28</v>
      </c>
      <c r="C74" t="s">
        <v>22</v>
      </c>
      <c r="D74">
        <v>871.69565860584203</v>
      </c>
      <c r="E74" s="1">
        <v>4999.3053564532902</v>
      </c>
      <c r="F74" t="s">
        <v>7</v>
      </c>
    </row>
    <row r="75" spans="1:6" x14ac:dyDescent="0.3">
      <c r="A75" t="str">
        <f t="shared" si="1"/>
        <v>202504</v>
      </c>
      <c r="B75" t="s">
        <v>28</v>
      </c>
      <c r="C75" t="s">
        <v>23</v>
      </c>
      <c r="D75">
        <v>42.618823579649003</v>
      </c>
      <c r="E75" s="1">
        <v>244.42534605282299</v>
      </c>
      <c r="F75" t="s">
        <v>7</v>
      </c>
    </row>
    <row r="76" spans="1:6" x14ac:dyDescent="0.3">
      <c r="A76" t="str">
        <f t="shared" si="1"/>
        <v>202504</v>
      </c>
      <c r="B76" t="s">
        <v>28</v>
      </c>
      <c r="C76" t="s">
        <v>24</v>
      </c>
      <c r="D76">
        <v>7394.3341467682603</v>
      </c>
      <c r="E76" s="1">
        <v>42407.6154818379</v>
      </c>
      <c r="F76" t="s">
        <v>7</v>
      </c>
    </row>
    <row r="77" spans="1:6" x14ac:dyDescent="0.3">
      <c r="A77" t="str">
        <f t="shared" si="1"/>
        <v>202504</v>
      </c>
      <c r="B77" t="s">
        <v>28</v>
      </c>
      <c r="C77" t="s">
        <v>25</v>
      </c>
      <c r="D77">
        <v>1.9667428705090599</v>
      </c>
      <c r="E77" s="1">
        <v>11.279565373800001</v>
      </c>
      <c r="F77" t="s">
        <v>7</v>
      </c>
    </row>
    <row r="78" spans="1:6" x14ac:dyDescent="0.3">
      <c r="A78" t="str">
        <f t="shared" si="1"/>
        <v>202503</v>
      </c>
      <c r="B78" t="s">
        <v>29</v>
      </c>
      <c r="C78" t="s">
        <v>6</v>
      </c>
      <c r="D78">
        <v>1159.72597314327</v>
      </c>
      <c r="E78" s="1">
        <v>6703.3900836640896</v>
      </c>
      <c r="F78" t="s">
        <v>7</v>
      </c>
    </row>
    <row r="79" spans="1:6" x14ac:dyDescent="0.3">
      <c r="A79" t="str">
        <f t="shared" si="1"/>
        <v>202503</v>
      </c>
      <c r="B79" t="s">
        <v>29</v>
      </c>
      <c r="C79" t="s">
        <v>8</v>
      </c>
      <c r="D79">
        <v>69.964755209180197</v>
      </c>
      <c r="E79" s="1">
        <v>404.40677982234399</v>
      </c>
      <c r="F79" t="s">
        <v>7</v>
      </c>
    </row>
    <row r="80" spans="1:6" x14ac:dyDescent="0.3">
      <c r="A80" t="str">
        <f t="shared" si="1"/>
        <v>202503</v>
      </c>
      <c r="B80" t="s">
        <v>29</v>
      </c>
      <c r="C80" t="s">
        <v>9</v>
      </c>
      <c r="D80">
        <v>49.555706464491301</v>
      </c>
      <c r="E80" s="1">
        <v>286.43941672072998</v>
      </c>
      <c r="F80" t="s">
        <v>7</v>
      </c>
    </row>
    <row r="81" spans="1:6" x14ac:dyDescent="0.3">
      <c r="A81" t="str">
        <f t="shared" si="1"/>
        <v>202503</v>
      </c>
      <c r="B81" t="s">
        <v>29</v>
      </c>
      <c r="C81" t="s">
        <v>10</v>
      </c>
      <c r="D81">
        <v>370.066519057032</v>
      </c>
      <c r="E81" s="1">
        <v>2139.03999012751</v>
      </c>
      <c r="F81" t="s">
        <v>7</v>
      </c>
    </row>
    <row r="82" spans="1:6" x14ac:dyDescent="0.3">
      <c r="A82" t="str">
        <f t="shared" si="1"/>
        <v>202503</v>
      </c>
      <c r="B82" t="s">
        <v>29</v>
      </c>
      <c r="C82" t="s">
        <v>11</v>
      </c>
      <c r="D82">
        <v>119.199845422013</v>
      </c>
      <c r="E82" s="1">
        <v>688.99298651605</v>
      </c>
      <c r="F82" t="s">
        <v>7</v>
      </c>
    </row>
    <row r="83" spans="1:6" x14ac:dyDescent="0.3">
      <c r="A83" t="str">
        <f t="shared" si="1"/>
        <v>202503</v>
      </c>
      <c r="B83" t="s">
        <v>29</v>
      </c>
      <c r="C83" t="s">
        <v>12</v>
      </c>
      <c r="D83">
        <v>97.780156294768602</v>
      </c>
      <c r="E83" s="1">
        <v>565.18397040720799</v>
      </c>
      <c r="F83" t="s">
        <v>7</v>
      </c>
    </row>
    <row r="84" spans="1:6" x14ac:dyDescent="0.3">
      <c r="A84" t="str">
        <f t="shared" si="1"/>
        <v>202503</v>
      </c>
      <c r="B84" t="s">
        <v>29</v>
      </c>
      <c r="C84" t="s">
        <v>13</v>
      </c>
      <c r="D84">
        <v>32.451039105930498</v>
      </c>
      <c r="E84" s="1">
        <v>187.57187368814499</v>
      </c>
      <c r="F84" t="s">
        <v>7</v>
      </c>
    </row>
    <row r="85" spans="1:6" x14ac:dyDescent="0.3">
      <c r="A85" t="str">
        <f t="shared" si="1"/>
        <v>202503</v>
      </c>
      <c r="B85" t="s">
        <v>29</v>
      </c>
      <c r="C85" t="s">
        <v>14</v>
      </c>
      <c r="D85">
        <v>6.6689181570729099</v>
      </c>
      <c r="E85" s="1">
        <v>38.547347285605099</v>
      </c>
      <c r="F85" t="s">
        <v>7</v>
      </c>
    </row>
    <row r="86" spans="1:6" x14ac:dyDescent="0.3">
      <c r="A86" t="str">
        <f t="shared" si="1"/>
        <v>202503</v>
      </c>
      <c r="B86" t="s">
        <v>29</v>
      </c>
      <c r="C86" t="s">
        <v>15</v>
      </c>
      <c r="D86">
        <v>39.649677025992503</v>
      </c>
      <c r="E86" s="1">
        <v>229.18108066179099</v>
      </c>
      <c r="F86" t="s">
        <v>7</v>
      </c>
    </row>
    <row r="87" spans="1:6" x14ac:dyDescent="0.3">
      <c r="A87" t="str">
        <f t="shared" si="1"/>
        <v>202503</v>
      </c>
      <c r="B87" t="s">
        <v>29</v>
      </c>
      <c r="C87" t="s">
        <v>16</v>
      </c>
      <c r="D87">
        <v>4109.1234950769604</v>
      </c>
      <c r="E87" s="1">
        <v>23751.350170069101</v>
      </c>
      <c r="F87" t="s">
        <v>7</v>
      </c>
    </row>
    <row r="88" spans="1:6" x14ac:dyDescent="0.3">
      <c r="A88" t="str">
        <f t="shared" si="1"/>
        <v>202503</v>
      </c>
      <c r="B88" t="s">
        <v>29</v>
      </c>
      <c r="C88" t="s">
        <v>17</v>
      </c>
      <c r="D88">
        <v>1143.33843428879</v>
      </c>
      <c r="E88" s="1">
        <v>6608.6676509543804</v>
      </c>
      <c r="F88" t="s">
        <v>7</v>
      </c>
    </row>
    <row r="89" spans="1:6" x14ac:dyDescent="0.3">
      <c r="A89" t="str">
        <f t="shared" si="1"/>
        <v>202503</v>
      </c>
      <c r="B89" t="s">
        <v>29</v>
      </c>
      <c r="C89" t="s">
        <v>18</v>
      </c>
      <c r="D89">
        <v>3.39681796420507</v>
      </c>
      <c r="E89" s="1">
        <v>19.634117355800001</v>
      </c>
      <c r="F89" t="s">
        <v>7</v>
      </c>
    </row>
    <row r="90" spans="1:6" x14ac:dyDescent="0.3">
      <c r="A90" t="str">
        <f t="shared" si="1"/>
        <v>202503</v>
      </c>
      <c r="B90" t="s">
        <v>29</v>
      </c>
      <c r="C90" t="s">
        <v>19</v>
      </c>
      <c r="D90">
        <v>3.48799998456786</v>
      </c>
      <c r="E90" s="1">
        <v>20.1611631108</v>
      </c>
      <c r="F90" t="s">
        <v>7</v>
      </c>
    </row>
    <row r="91" spans="1:6" x14ac:dyDescent="0.3">
      <c r="A91" t="str">
        <f t="shared" si="1"/>
        <v>202503</v>
      </c>
      <c r="B91" t="s">
        <v>29</v>
      </c>
      <c r="C91" t="s">
        <v>20</v>
      </c>
      <c r="D91">
        <v>889.53643228452302</v>
      </c>
      <c r="E91" s="1">
        <v>5141.6540090693998</v>
      </c>
      <c r="F91" t="s">
        <v>7</v>
      </c>
    </row>
    <row r="92" spans="1:6" x14ac:dyDescent="0.3">
      <c r="A92" t="str">
        <f t="shared" si="1"/>
        <v>202503</v>
      </c>
      <c r="B92" t="s">
        <v>29</v>
      </c>
      <c r="C92" t="s">
        <v>21</v>
      </c>
      <c r="D92">
        <v>52.866260166279197</v>
      </c>
      <c r="E92" s="1">
        <v>305.574913700119</v>
      </c>
      <c r="F92" t="s">
        <v>7</v>
      </c>
    </row>
    <row r="93" spans="1:6" x14ac:dyDescent="0.3">
      <c r="A93" t="str">
        <f t="shared" si="1"/>
        <v>202503</v>
      </c>
      <c r="B93" t="s">
        <v>29</v>
      </c>
      <c r="C93" t="s">
        <v>22</v>
      </c>
      <c r="D93">
        <v>864.85837615681703</v>
      </c>
      <c r="E93" s="1">
        <v>4999.0111429428398</v>
      </c>
      <c r="F93" t="s">
        <v>7</v>
      </c>
    </row>
    <row r="94" spans="1:6" x14ac:dyDescent="0.3">
      <c r="A94" t="str">
        <f t="shared" si="1"/>
        <v>202503</v>
      </c>
      <c r="B94" t="s">
        <v>29</v>
      </c>
      <c r="C94" t="s">
        <v>23</v>
      </c>
      <c r="D94">
        <v>6.5898566731917896</v>
      </c>
      <c r="E94" s="1">
        <v>38.090360049549602</v>
      </c>
      <c r="F94" t="s">
        <v>7</v>
      </c>
    </row>
    <row r="95" spans="1:6" x14ac:dyDescent="0.3">
      <c r="A95" t="str">
        <f t="shared" si="1"/>
        <v>202503</v>
      </c>
      <c r="B95" t="s">
        <v>29</v>
      </c>
      <c r="C95" t="s">
        <v>24</v>
      </c>
      <c r="D95">
        <v>7205.4612465153696</v>
      </c>
      <c r="E95" s="1">
        <v>41648.6468240459</v>
      </c>
      <c r="F95" t="s">
        <v>7</v>
      </c>
    </row>
    <row r="96" spans="1:6" x14ac:dyDescent="0.3">
      <c r="A96" t="str">
        <f t="shared" si="1"/>
        <v>202503</v>
      </c>
      <c r="B96" t="s">
        <v>29</v>
      </c>
      <c r="C96" t="s">
        <v>25</v>
      </c>
      <c r="D96">
        <v>1.9771643166353801</v>
      </c>
      <c r="E96" s="1">
        <v>11.428306324799999</v>
      </c>
      <c r="F96" t="s">
        <v>7</v>
      </c>
    </row>
    <row r="97" spans="1:6" x14ac:dyDescent="0.3">
      <c r="A97" t="str">
        <f t="shared" si="1"/>
        <v>202502</v>
      </c>
      <c r="B97" t="s">
        <v>30</v>
      </c>
      <c r="C97" t="s">
        <v>6</v>
      </c>
      <c r="D97">
        <v>1657.8800573046501</v>
      </c>
      <c r="E97" s="1">
        <v>9730.0980563209905</v>
      </c>
      <c r="F97" t="s">
        <v>7</v>
      </c>
    </row>
    <row r="98" spans="1:6" x14ac:dyDescent="0.3">
      <c r="A98" t="str">
        <f t="shared" si="1"/>
        <v>202502</v>
      </c>
      <c r="B98" t="s">
        <v>30</v>
      </c>
      <c r="C98" t="s">
        <v>8</v>
      </c>
      <c r="D98">
        <v>89.112497971454403</v>
      </c>
      <c r="E98" s="1">
        <v>523.001250594466</v>
      </c>
      <c r="F98" t="s">
        <v>7</v>
      </c>
    </row>
    <row r="99" spans="1:6" x14ac:dyDescent="0.3">
      <c r="A99" t="str">
        <f t="shared" si="1"/>
        <v>202502</v>
      </c>
      <c r="B99" t="s">
        <v>30</v>
      </c>
      <c r="C99" t="s">
        <v>9</v>
      </c>
      <c r="D99">
        <v>52.0267275532117</v>
      </c>
      <c r="E99" s="1">
        <v>305.34486400980001</v>
      </c>
      <c r="F99" t="s">
        <v>7</v>
      </c>
    </row>
    <row r="100" spans="1:6" x14ac:dyDescent="0.3">
      <c r="A100" t="str">
        <f t="shared" si="1"/>
        <v>202502</v>
      </c>
      <c r="B100" t="s">
        <v>30</v>
      </c>
      <c r="C100" t="s">
        <v>10</v>
      </c>
      <c r="D100">
        <v>439.81880323674301</v>
      </c>
      <c r="E100" s="1">
        <v>2581.2965561964502</v>
      </c>
      <c r="F100" t="s">
        <v>7</v>
      </c>
    </row>
    <row r="101" spans="1:6" x14ac:dyDescent="0.3">
      <c r="A101" t="str">
        <f t="shared" si="1"/>
        <v>202502</v>
      </c>
      <c r="B101" t="s">
        <v>30</v>
      </c>
      <c r="C101" t="s">
        <v>11</v>
      </c>
      <c r="D101">
        <v>143.7671646096164</v>
      </c>
      <c r="E101" s="1">
        <v>843.76948909383998</v>
      </c>
      <c r="F101" t="s">
        <v>7</v>
      </c>
    </row>
    <row r="102" spans="1:6" x14ac:dyDescent="0.3">
      <c r="A102" t="str">
        <f t="shared" si="1"/>
        <v>202502</v>
      </c>
      <c r="B102" t="s">
        <v>30</v>
      </c>
      <c r="C102" t="s">
        <v>12</v>
      </c>
      <c r="D102">
        <v>129.55392509284491</v>
      </c>
      <c r="E102" s="1">
        <v>760.35198636990799</v>
      </c>
      <c r="F102" t="s">
        <v>7</v>
      </c>
    </row>
    <row r="103" spans="1:6" x14ac:dyDescent="0.3">
      <c r="A103" t="str">
        <f t="shared" si="1"/>
        <v>202502</v>
      </c>
      <c r="B103" t="s">
        <v>30</v>
      </c>
      <c r="C103" t="s">
        <v>13</v>
      </c>
      <c r="D103">
        <v>31.631179041361499</v>
      </c>
      <c r="E103" s="1">
        <v>185.6433897937504</v>
      </c>
      <c r="F103" t="s">
        <v>7</v>
      </c>
    </row>
    <row r="104" spans="1:6" x14ac:dyDescent="0.3">
      <c r="A104" t="str">
        <f t="shared" si="1"/>
        <v>202502</v>
      </c>
      <c r="B104" t="s">
        <v>30</v>
      </c>
      <c r="C104" t="s">
        <v>14</v>
      </c>
      <c r="D104">
        <v>2.9800692163648099</v>
      </c>
      <c r="E104" s="1">
        <v>17.490026230845121</v>
      </c>
      <c r="F104" t="s">
        <v>7</v>
      </c>
    </row>
    <row r="105" spans="1:6" x14ac:dyDescent="0.3">
      <c r="A105" t="str">
        <f t="shared" si="1"/>
        <v>202502</v>
      </c>
      <c r="B105" t="s">
        <v>30</v>
      </c>
      <c r="C105" t="s">
        <v>15</v>
      </c>
      <c r="D105">
        <v>44.191290384190502</v>
      </c>
      <c r="E105" s="1">
        <v>259.358683264815</v>
      </c>
      <c r="F105" t="s">
        <v>7</v>
      </c>
    </row>
    <row r="106" spans="1:6" x14ac:dyDescent="0.3">
      <c r="A106" t="str">
        <f t="shared" si="1"/>
        <v>202502</v>
      </c>
      <c r="B106" t="s">
        <v>30</v>
      </c>
      <c r="C106" t="s">
        <v>16</v>
      </c>
      <c r="D106">
        <v>3802.8205258717398</v>
      </c>
      <c r="E106" s="1">
        <v>22318.753666341301</v>
      </c>
      <c r="F106" t="s">
        <v>7</v>
      </c>
    </row>
    <row r="107" spans="1:6" x14ac:dyDescent="0.3">
      <c r="A107" t="str">
        <f t="shared" si="1"/>
        <v>202502</v>
      </c>
      <c r="B107" t="s">
        <v>30</v>
      </c>
      <c r="C107" t="s">
        <v>17</v>
      </c>
      <c r="D107">
        <v>1226.3075200581241</v>
      </c>
      <c r="E107" s="1">
        <v>7197.1988352211401</v>
      </c>
      <c r="F107" t="s">
        <v>7</v>
      </c>
    </row>
    <row r="108" spans="1:6" x14ac:dyDescent="0.3">
      <c r="A108" t="str">
        <f t="shared" si="1"/>
        <v>202502</v>
      </c>
      <c r="B108" t="s">
        <v>30</v>
      </c>
      <c r="C108" t="s">
        <v>18</v>
      </c>
      <c r="D108">
        <v>3.6728467379471201</v>
      </c>
      <c r="E108" s="1">
        <v>21.555937505011698</v>
      </c>
      <c r="F108" t="s">
        <v>7</v>
      </c>
    </row>
    <row r="109" spans="1:6" x14ac:dyDescent="0.3">
      <c r="A109" t="str">
        <f t="shared" si="1"/>
        <v>202502</v>
      </c>
      <c r="B109" t="s">
        <v>30</v>
      </c>
      <c r="C109" t="s">
        <v>19</v>
      </c>
      <c r="D109">
        <v>66.124323914806396</v>
      </c>
      <c r="E109" s="1">
        <v>388.08365705599903</v>
      </c>
      <c r="F109" t="s">
        <v>7</v>
      </c>
    </row>
    <row r="110" spans="1:6" x14ac:dyDescent="0.3">
      <c r="A110" t="str">
        <f t="shared" si="1"/>
        <v>202502</v>
      </c>
      <c r="B110" t="s">
        <v>30</v>
      </c>
      <c r="C110" t="s">
        <v>20</v>
      </c>
      <c r="D110">
        <v>2162.180390278852</v>
      </c>
      <c r="E110" s="1">
        <v>12689.8367105466</v>
      </c>
      <c r="F110" t="s">
        <v>7</v>
      </c>
    </row>
    <row r="111" spans="1:6" x14ac:dyDescent="0.3">
      <c r="A111" t="str">
        <f t="shared" si="1"/>
        <v>202502</v>
      </c>
      <c r="B111" t="s">
        <v>30</v>
      </c>
      <c r="C111" t="s">
        <v>21</v>
      </c>
      <c r="D111">
        <v>795.63059359378997</v>
      </c>
      <c r="E111" s="1">
        <v>4669.5559538019597</v>
      </c>
      <c r="F111" t="s">
        <v>7</v>
      </c>
    </row>
    <row r="112" spans="1:6" x14ac:dyDescent="0.3">
      <c r="A112" t="str">
        <f t="shared" si="1"/>
        <v>202502</v>
      </c>
      <c r="B112" t="s">
        <v>30</v>
      </c>
      <c r="C112" t="s">
        <v>22</v>
      </c>
      <c r="D112">
        <v>889.18152497968902</v>
      </c>
      <c r="E112" s="1">
        <v>5218.6063701058001</v>
      </c>
      <c r="F112" t="s">
        <v>7</v>
      </c>
    </row>
    <row r="113" spans="1:6" x14ac:dyDescent="0.3">
      <c r="A113" t="str">
        <f t="shared" si="1"/>
        <v>202502</v>
      </c>
      <c r="B113" t="s">
        <v>30</v>
      </c>
      <c r="C113" t="s">
        <v>23</v>
      </c>
      <c r="D113">
        <v>9.2592712581676899</v>
      </c>
      <c r="E113" s="1">
        <v>54.342663014186201</v>
      </c>
      <c r="F113" t="s">
        <v>7</v>
      </c>
    </row>
    <row r="114" spans="1:6" x14ac:dyDescent="0.3">
      <c r="A114" t="str">
        <f t="shared" si="1"/>
        <v>202502</v>
      </c>
      <c r="B114" t="s">
        <v>30</v>
      </c>
      <c r="C114" t="s">
        <v>24</v>
      </c>
      <c r="D114">
        <v>7895.5369135396604</v>
      </c>
      <c r="E114" s="1">
        <v>46338.906145564302</v>
      </c>
      <c r="F114" t="s">
        <v>7</v>
      </c>
    </row>
    <row r="115" spans="1:6" x14ac:dyDescent="0.3">
      <c r="A115" t="str">
        <f t="shared" si="1"/>
        <v>202502</v>
      </c>
      <c r="B115" t="s">
        <v>30</v>
      </c>
      <c r="C115" t="s">
        <v>25</v>
      </c>
      <c r="D115">
        <v>3.5588920398414898</v>
      </c>
      <c r="E115" s="1">
        <v>20.887137381829799</v>
      </c>
      <c r="F115" t="s">
        <v>7</v>
      </c>
    </row>
  </sheetData>
  <autoFilter ref="A1:F1" xr:uid="{49790A21-8945-4EA8-83D4-C2890BE01D91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TD</vt:lpstr>
      <vt:lpstr>TD2</vt:lpstr>
      <vt:lpstr>SOURCE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CARLOS DOS SANTOS</dc:creator>
  <cp:lastModifiedBy>JEAN CARLOS DOS SANTOS</cp:lastModifiedBy>
  <dcterms:created xsi:type="dcterms:W3CDTF">2025-08-07T14:30:29Z</dcterms:created>
  <dcterms:modified xsi:type="dcterms:W3CDTF">2025-08-11T21:16:21Z</dcterms:modified>
</cp:coreProperties>
</file>